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\CSE Project\"/>
    </mc:Choice>
  </mc:AlternateContent>
  <xr:revisionPtr revIDLastSave="0" documentId="13_ncr:20001_{A3F51F6A-6045-4492-9573-29D0B8ACB1B6}" xr6:coauthVersionLast="47" xr6:coauthVersionMax="47" xr10:uidLastSave="{00000000-0000-0000-0000-000000000000}"/>
  <bookViews>
    <workbookView xWindow="-108" yWindow="-108" windowWidth="23256" windowHeight="13176" tabRatio="500" firstSheet="2" activeTab="5" xr2:uid="{00000000-000D-0000-FFFF-FFFF00000000}"/>
  </bookViews>
  <sheets>
    <sheet name="🇱🇰 CSE LIVE PRICES" sheetId="1" r:id="rId1"/>
    <sheet name="📊 GAINERS &amp; LOSERS" sheetId="2" r:id="rId2"/>
    <sheet name="📋 HOW IT WORKS" sheetId="3" r:id="rId3"/>
    <sheet name="📊 RAW DATA" sheetId="4" r:id="rId4"/>
    <sheet name="🔬 ANALYSIS" sheetId="5" r:id="rId5"/>
    <sheet name="📈 DASHBOARD" sheetId="6" r:id="rId6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6" l="1"/>
  <c r="I5" i="6"/>
  <c r="B5" i="6"/>
  <c r="C135" i="5"/>
  <c r="B135" i="5"/>
  <c r="E134" i="5"/>
  <c r="C134" i="5"/>
  <c r="B134" i="5"/>
  <c r="G133" i="5"/>
  <c r="E133" i="5"/>
  <c r="C133" i="5"/>
  <c r="D134" i="5" s="1"/>
  <c r="B133" i="5"/>
  <c r="E132" i="5"/>
  <c r="C132" i="5"/>
  <c r="B132" i="5"/>
  <c r="C131" i="5"/>
  <c r="D132" i="5" s="1"/>
  <c r="B131" i="5"/>
  <c r="E130" i="5"/>
  <c r="C130" i="5"/>
  <c r="B130" i="5"/>
  <c r="E129" i="5"/>
  <c r="C129" i="5"/>
  <c r="D130" i="5" s="1"/>
  <c r="B129" i="5"/>
  <c r="E128" i="5"/>
  <c r="C128" i="5"/>
  <c r="B128" i="5"/>
  <c r="C127" i="5"/>
  <c r="D128" i="5" s="1"/>
  <c r="B127" i="5"/>
  <c r="E126" i="5"/>
  <c r="C126" i="5"/>
  <c r="B126" i="5"/>
  <c r="E125" i="5"/>
  <c r="C125" i="5"/>
  <c r="D126" i="5" s="1"/>
  <c r="B125" i="5"/>
  <c r="E124" i="5"/>
  <c r="C124" i="5"/>
  <c r="B124" i="5"/>
  <c r="C123" i="5"/>
  <c r="D124" i="5" s="1"/>
  <c r="B123" i="5"/>
  <c r="E122" i="5"/>
  <c r="C122" i="5"/>
  <c r="B122" i="5"/>
  <c r="E121" i="5"/>
  <c r="C121" i="5"/>
  <c r="D122" i="5" s="1"/>
  <c r="B121" i="5"/>
  <c r="E120" i="5"/>
  <c r="C120" i="5"/>
  <c r="B120" i="5"/>
  <c r="C119" i="5"/>
  <c r="D120" i="5" s="1"/>
  <c r="B119" i="5"/>
  <c r="C118" i="5"/>
  <c r="B118" i="5"/>
  <c r="C117" i="5"/>
  <c r="D118" i="5" s="1"/>
  <c r="B117" i="5"/>
  <c r="E116" i="5"/>
  <c r="C116" i="5"/>
  <c r="B116" i="5"/>
  <c r="C115" i="5"/>
  <c r="D116" i="5" s="1"/>
  <c r="B115" i="5"/>
  <c r="C114" i="5"/>
  <c r="F133" i="5" s="1"/>
  <c r="B114" i="5"/>
  <c r="C113" i="5"/>
  <c r="E118" i="5" s="1"/>
  <c r="B113" i="5"/>
  <c r="C112" i="5"/>
  <c r="B112" i="5"/>
  <c r="C111" i="5"/>
  <c r="D112" i="5" s="1"/>
  <c r="B111" i="5"/>
  <c r="C110" i="5"/>
  <c r="F129" i="5" s="1"/>
  <c r="B110" i="5"/>
  <c r="C109" i="5"/>
  <c r="E114" i="5" s="1"/>
  <c r="B109" i="5"/>
  <c r="E108" i="5"/>
  <c r="C108" i="5"/>
  <c r="B108" i="5"/>
  <c r="C107" i="5"/>
  <c r="D108" i="5" s="1"/>
  <c r="B107" i="5"/>
  <c r="C106" i="5"/>
  <c r="B106" i="5"/>
  <c r="C105" i="5"/>
  <c r="B105" i="5"/>
  <c r="C104" i="5"/>
  <c r="B104" i="5"/>
  <c r="C103" i="5"/>
  <c r="D104" i="5" s="1"/>
  <c r="B103" i="5"/>
  <c r="C102" i="5"/>
  <c r="F121" i="5" s="1"/>
  <c r="G121" i="5" s="1"/>
  <c r="B102" i="5"/>
  <c r="C101" i="5"/>
  <c r="B101" i="5"/>
  <c r="C100" i="5"/>
  <c r="B100" i="5"/>
  <c r="E99" i="5"/>
  <c r="C99" i="5"/>
  <c r="D100" i="5" s="1"/>
  <c r="B99" i="5"/>
  <c r="C98" i="5"/>
  <c r="B98" i="5"/>
  <c r="C97" i="5"/>
  <c r="E102" i="5" s="1"/>
  <c r="B97" i="5"/>
  <c r="C96" i="5"/>
  <c r="B96" i="5"/>
  <c r="C95" i="5"/>
  <c r="D96" i="5" s="1"/>
  <c r="B95" i="5"/>
  <c r="C94" i="5"/>
  <c r="B94" i="5"/>
  <c r="C93" i="5"/>
  <c r="E98" i="5" s="1"/>
  <c r="B93" i="5"/>
  <c r="E92" i="5"/>
  <c r="C92" i="5"/>
  <c r="B92" i="5"/>
  <c r="C91" i="5"/>
  <c r="D92" i="5" s="1"/>
  <c r="B91" i="5"/>
  <c r="C90" i="5"/>
  <c r="B90" i="5"/>
  <c r="C89" i="5"/>
  <c r="B89" i="5"/>
  <c r="C88" i="5"/>
  <c r="B88" i="5"/>
  <c r="C87" i="5"/>
  <c r="D88" i="5" s="1"/>
  <c r="B87" i="5"/>
  <c r="C86" i="5"/>
  <c r="B86" i="5"/>
  <c r="C85" i="5"/>
  <c r="B85" i="5"/>
  <c r="C84" i="5"/>
  <c r="B84" i="5"/>
  <c r="C83" i="5"/>
  <c r="D84" i="5" s="1"/>
  <c r="B83" i="5"/>
  <c r="C82" i="5"/>
  <c r="B82" i="5"/>
  <c r="C81" i="5"/>
  <c r="B81" i="5"/>
  <c r="C80" i="5"/>
  <c r="B80" i="5"/>
  <c r="C79" i="5"/>
  <c r="D80" i="5" s="1"/>
  <c r="B79" i="5"/>
  <c r="C78" i="5"/>
  <c r="B78" i="5"/>
  <c r="C77" i="5"/>
  <c r="F90" i="5" s="1"/>
  <c r="B77" i="5"/>
  <c r="E76" i="5"/>
  <c r="C76" i="5"/>
  <c r="B76" i="5"/>
  <c r="C75" i="5"/>
  <c r="D76" i="5" s="1"/>
  <c r="B75" i="5"/>
  <c r="C74" i="5"/>
  <c r="B74" i="5"/>
  <c r="C73" i="5"/>
  <c r="B73" i="5"/>
  <c r="C72" i="5"/>
  <c r="B72" i="5"/>
  <c r="C71" i="5"/>
  <c r="D72" i="5" s="1"/>
  <c r="B71" i="5"/>
  <c r="C70" i="5"/>
  <c r="B70" i="5"/>
  <c r="C69" i="5"/>
  <c r="E69" i="5" s="1"/>
  <c r="B69" i="5"/>
  <c r="C68" i="5"/>
  <c r="B68" i="5"/>
  <c r="C67" i="5"/>
  <c r="D68" i="5" s="1"/>
  <c r="B67" i="5"/>
  <c r="F66" i="5"/>
  <c r="C66" i="5"/>
  <c r="B66" i="5"/>
  <c r="C65" i="5"/>
  <c r="B65" i="5"/>
  <c r="C64" i="5"/>
  <c r="B64" i="5"/>
  <c r="C63" i="5"/>
  <c r="D64" i="5" s="1"/>
  <c r="B63" i="5"/>
  <c r="C62" i="5"/>
  <c r="B62" i="5"/>
  <c r="C61" i="5"/>
  <c r="B61" i="5"/>
  <c r="E60" i="5"/>
  <c r="C60" i="5"/>
  <c r="B60" i="5"/>
  <c r="E59" i="5"/>
  <c r="C59" i="5"/>
  <c r="D60" i="5" s="1"/>
  <c r="B59" i="5"/>
  <c r="C58" i="5"/>
  <c r="B58" i="5"/>
  <c r="E57" i="5"/>
  <c r="C57" i="5"/>
  <c r="B57" i="5"/>
  <c r="E56" i="5"/>
  <c r="C56" i="5"/>
  <c r="B56" i="5"/>
  <c r="C55" i="5"/>
  <c r="D56" i="5" s="1"/>
  <c r="B55" i="5"/>
  <c r="C54" i="5"/>
  <c r="B54" i="5"/>
  <c r="C53" i="5"/>
  <c r="B53" i="5"/>
  <c r="C52" i="5"/>
  <c r="B52" i="5"/>
  <c r="C51" i="5"/>
  <c r="B51" i="5"/>
  <c r="C50" i="5"/>
  <c r="B50" i="5"/>
  <c r="C49" i="5"/>
  <c r="D50" i="5" s="1"/>
  <c r="B49" i="5"/>
  <c r="C48" i="5"/>
  <c r="B48" i="5"/>
  <c r="C47" i="5"/>
  <c r="B47" i="5"/>
  <c r="C46" i="5"/>
  <c r="B46" i="5"/>
  <c r="C45" i="5"/>
  <c r="D46" i="5" s="1"/>
  <c r="B45" i="5"/>
  <c r="C44" i="5"/>
  <c r="B44" i="5"/>
  <c r="C43" i="5"/>
  <c r="B43" i="5"/>
  <c r="C42" i="5"/>
  <c r="B42" i="5"/>
  <c r="C41" i="5"/>
  <c r="D42" i="5" s="1"/>
  <c r="B41" i="5"/>
  <c r="D40" i="5"/>
  <c r="C40" i="5"/>
  <c r="B40" i="5"/>
  <c r="D39" i="5"/>
  <c r="C39" i="5"/>
  <c r="B39" i="5"/>
  <c r="C38" i="5"/>
  <c r="B38" i="5"/>
  <c r="C37" i="5"/>
  <c r="D38" i="5" s="1"/>
  <c r="B37" i="5"/>
  <c r="C36" i="5"/>
  <c r="B36" i="5"/>
  <c r="C35" i="5"/>
  <c r="E37" i="5" s="1"/>
  <c r="B35" i="5"/>
  <c r="C34" i="5"/>
  <c r="B34" i="5"/>
  <c r="F33" i="5"/>
  <c r="C33" i="5"/>
  <c r="D34" i="5" s="1"/>
  <c r="B33" i="5"/>
  <c r="D32" i="5"/>
  <c r="C32" i="5"/>
  <c r="B32" i="5"/>
  <c r="D31" i="5"/>
  <c r="C31" i="5"/>
  <c r="B31" i="5"/>
  <c r="D30" i="5"/>
  <c r="C30" i="5"/>
  <c r="F49" i="5" s="1"/>
  <c r="B30" i="5"/>
  <c r="E29" i="5"/>
  <c r="C29" i="5"/>
  <c r="E32" i="5" s="1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F24" i="5"/>
  <c r="D24" i="5"/>
  <c r="C24" i="5"/>
  <c r="B24" i="5"/>
  <c r="F23" i="5"/>
  <c r="D23" i="5"/>
  <c r="C23" i="5"/>
  <c r="B23" i="5"/>
  <c r="F22" i="5"/>
  <c r="D22" i="5"/>
  <c r="C22" i="5"/>
  <c r="B22" i="5"/>
  <c r="F21" i="5"/>
  <c r="D21" i="5"/>
  <c r="C21" i="5"/>
  <c r="B21" i="5"/>
  <c r="F20" i="5"/>
  <c r="D20" i="5"/>
  <c r="C20" i="5"/>
  <c r="B20" i="5"/>
  <c r="F19" i="5"/>
  <c r="D19" i="5"/>
  <c r="C19" i="5"/>
  <c r="B19" i="5"/>
  <c r="C18" i="5"/>
  <c r="B18" i="5"/>
  <c r="C17" i="5"/>
  <c r="E23" i="5" s="1"/>
  <c r="G23" i="5" s="1"/>
  <c r="B17" i="5"/>
  <c r="C16" i="5"/>
  <c r="D17" i="5" s="1"/>
  <c r="B16" i="5"/>
  <c r="C15" i="5"/>
  <c r="B15" i="5"/>
  <c r="C14" i="5"/>
  <c r="E20" i="5" s="1"/>
  <c r="G20" i="5" s="1"/>
  <c r="B14" i="5"/>
  <c r="C13" i="5"/>
  <c r="F32" i="5" s="1"/>
  <c r="B13" i="5"/>
  <c r="C12" i="5"/>
  <c r="F31" i="5" s="1"/>
  <c r="B12" i="5"/>
  <c r="G11" i="5"/>
  <c r="E11" i="5"/>
  <c r="H11" i="5" s="1"/>
  <c r="I11" i="5" s="1"/>
  <c r="D11" i="5"/>
  <c r="C11" i="5"/>
  <c r="B11" i="5"/>
  <c r="I10" i="5"/>
  <c r="H10" i="5"/>
  <c r="E10" i="5"/>
  <c r="G10" i="5" s="1"/>
  <c r="C10" i="5"/>
  <c r="B10" i="5"/>
  <c r="I9" i="5"/>
  <c r="H9" i="5"/>
  <c r="G9" i="5"/>
  <c r="E9" i="5"/>
  <c r="C9" i="5"/>
  <c r="B9" i="5"/>
  <c r="H8" i="5"/>
  <c r="I8" i="5" s="1"/>
  <c r="G8" i="5"/>
  <c r="E8" i="5"/>
  <c r="C8" i="5"/>
  <c r="D9" i="5" s="1"/>
  <c r="B8" i="5"/>
  <c r="E7" i="5"/>
  <c r="H7" i="5" s="1"/>
  <c r="I7" i="5" s="1"/>
  <c r="D7" i="5"/>
  <c r="C7" i="5"/>
  <c r="B7" i="5"/>
  <c r="E6" i="5"/>
  <c r="G6" i="5" s="1"/>
  <c r="C6" i="5"/>
  <c r="B6" i="5"/>
  <c r="G32" i="5" l="1"/>
  <c r="H32" i="5"/>
  <c r="I32" i="5" s="1"/>
  <c r="G56" i="5"/>
  <c r="D62" i="5"/>
  <c r="F80" i="5"/>
  <c r="E65" i="5"/>
  <c r="E66" i="5"/>
  <c r="F78" i="5"/>
  <c r="E17" i="5"/>
  <c r="D14" i="5"/>
  <c r="F39" i="5"/>
  <c r="E30" i="5"/>
  <c r="G25" i="5"/>
  <c r="F26" i="5"/>
  <c r="H26" i="5" s="1"/>
  <c r="I26" i="5" s="1"/>
  <c r="E49" i="5"/>
  <c r="F62" i="5"/>
  <c r="E53" i="5"/>
  <c r="F97" i="5"/>
  <c r="E86" i="5"/>
  <c r="F113" i="5"/>
  <c r="E41" i="5"/>
  <c r="F54" i="5"/>
  <c r="D70" i="5"/>
  <c r="F88" i="5"/>
  <c r="E74" i="5"/>
  <c r="E72" i="5"/>
  <c r="F86" i="5"/>
  <c r="F82" i="5"/>
  <c r="E73" i="5"/>
  <c r="E71" i="5"/>
  <c r="F30" i="5"/>
  <c r="E14" i="5"/>
  <c r="F25" i="5"/>
  <c r="H25" i="5" s="1"/>
  <c r="I25" i="5" s="1"/>
  <c r="F46" i="5"/>
  <c r="F42" i="5"/>
  <c r="E35" i="5"/>
  <c r="F48" i="5"/>
  <c r="F50" i="5"/>
  <c r="E44" i="5"/>
  <c r="F57" i="5"/>
  <c r="H57" i="5" s="1"/>
  <c r="I57" i="5" s="1"/>
  <c r="F41" i="5"/>
  <c r="F43" i="5"/>
  <c r="F45" i="5"/>
  <c r="F47" i="5"/>
  <c r="D53" i="5"/>
  <c r="F71" i="5"/>
  <c r="E58" i="5"/>
  <c r="F70" i="5"/>
  <c r="F76" i="5"/>
  <c r="F81" i="5"/>
  <c r="E67" i="5"/>
  <c r="F89" i="5"/>
  <c r="E75" i="5"/>
  <c r="D102" i="5"/>
  <c r="F118" i="5"/>
  <c r="F120" i="5"/>
  <c r="H120" i="5" s="1"/>
  <c r="I120" i="5" s="1"/>
  <c r="E101" i="5"/>
  <c r="E106" i="5"/>
  <c r="E104" i="5"/>
  <c r="F114" i="5"/>
  <c r="E107" i="5"/>
  <c r="E105" i="5"/>
  <c r="E103" i="5"/>
  <c r="E15" i="5"/>
  <c r="D78" i="5"/>
  <c r="F96" i="5"/>
  <c r="E78" i="5"/>
  <c r="E81" i="5"/>
  <c r="E82" i="5"/>
  <c r="E80" i="5"/>
  <c r="F94" i="5"/>
  <c r="H6" i="5"/>
  <c r="I6" i="5" s="1"/>
  <c r="E39" i="5"/>
  <c r="D8" i="5"/>
  <c r="E19" i="5"/>
  <c r="F35" i="5"/>
  <c r="E22" i="5"/>
  <c r="E21" i="5"/>
  <c r="F34" i="5"/>
  <c r="F29" i="5"/>
  <c r="G29" i="5" s="1"/>
  <c r="E16" i="5"/>
  <c r="H20" i="5"/>
  <c r="I20" i="5" s="1"/>
  <c r="E34" i="5"/>
  <c r="E31" i="5"/>
  <c r="D36" i="5"/>
  <c r="F38" i="5"/>
  <c r="F63" i="5"/>
  <c r="E50" i="5"/>
  <c r="D45" i="5"/>
  <c r="F67" i="5"/>
  <c r="E54" i="5"/>
  <c r="D49" i="5"/>
  <c r="D51" i="5"/>
  <c r="F69" i="5"/>
  <c r="H69" i="5" s="1"/>
  <c r="I69" i="5" s="1"/>
  <c r="E18" i="5"/>
  <c r="F28" i="5"/>
  <c r="H28" i="5" s="1"/>
  <c r="I28" i="5" s="1"/>
  <c r="E12" i="5"/>
  <c r="F52" i="5"/>
  <c r="E62" i="5"/>
  <c r="D86" i="5"/>
  <c r="F104" i="5"/>
  <c r="E85" i="5"/>
  <c r="E90" i="5"/>
  <c r="E88" i="5"/>
  <c r="F102" i="5"/>
  <c r="G102" i="5" s="1"/>
  <c r="F98" i="5"/>
  <c r="E91" i="5"/>
  <c r="E89" i="5"/>
  <c r="E87" i="5"/>
  <c r="G129" i="5"/>
  <c r="D13" i="5"/>
  <c r="G7" i="5"/>
  <c r="D10" i="5"/>
  <c r="D16" i="5"/>
  <c r="E40" i="5"/>
  <c r="D44" i="5"/>
  <c r="D48" i="5"/>
  <c r="H76" i="5"/>
  <c r="I76" i="5" s="1"/>
  <c r="G76" i="5"/>
  <c r="H114" i="5"/>
  <c r="I114" i="5" s="1"/>
  <c r="G114" i="5"/>
  <c r="E43" i="5"/>
  <c r="F56" i="5"/>
  <c r="H56" i="5" s="1"/>
  <c r="I56" i="5" s="1"/>
  <c r="F27" i="5"/>
  <c r="H27" i="5" s="1"/>
  <c r="I27" i="5" s="1"/>
  <c r="H29" i="5"/>
  <c r="I29" i="5" s="1"/>
  <c r="E70" i="5"/>
  <c r="D15" i="5"/>
  <c r="F36" i="5"/>
  <c r="F37" i="5"/>
  <c r="H37" i="5" s="1"/>
  <c r="I37" i="5" s="1"/>
  <c r="E24" i="5"/>
  <c r="H23" i="5"/>
  <c r="I23" i="5" s="1"/>
  <c r="G28" i="5"/>
  <c r="E36" i="5"/>
  <c r="E33" i="5"/>
  <c r="E45" i="5"/>
  <c r="F58" i="5"/>
  <c r="F40" i="5"/>
  <c r="E48" i="5"/>
  <c r="F61" i="5"/>
  <c r="D43" i="5"/>
  <c r="F44" i="5"/>
  <c r="E52" i="5"/>
  <c r="F65" i="5"/>
  <c r="D47" i="5"/>
  <c r="E64" i="5"/>
  <c r="F74" i="5"/>
  <c r="G99" i="5"/>
  <c r="F106" i="5"/>
  <c r="H118" i="5"/>
  <c r="I118" i="5" s="1"/>
  <c r="G118" i="5"/>
  <c r="E38" i="5"/>
  <c r="E83" i="5"/>
  <c r="H98" i="5"/>
  <c r="I98" i="5" s="1"/>
  <c r="G98" i="5"/>
  <c r="G122" i="5"/>
  <c r="D52" i="5"/>
  <c r="D55" i="5"/>
  <c r="F73" i="5"/>
  <c r="F85" i="5"/>
  <c r="D74" i="5"/>
  <c r="F92" i="5"/>
  <c r="H92" i="5" s="1"/>
  <c r="I92" i="5" s="1"/>
  <c r="F101" i="5"/>
  <c r="D90" i="5"/>
  <c r="F108" i="5"/>
  <c r="G108" i="5" s="1"/>
  <c r="F117" i="5"/>
  <c r="D106" i="5"/>
  <c r="F122" i="5"/>
  <c r="F124" i="5"/>
  <c r="H124" i="5" s="1"/>
  <c r="I124" i="5" s="1"/>
  <c r="F110" i="5"/>
  <c r="G120" i="5"/>
  <c r="D12" i="5"/>
  <c r="E13" i="5"/>
  <c r="D29" i="5"/>
  <c r="E42" i="5"/>
  <c r="F55" i="5"/>
  <c r="D37" i="5"/>
  <c r="E51" i="5"/>
  <c r="D57" i="5"/>
  <c r="F75" i="5"/>
  <c r="E96" i="5"/>
  <c r="E112" i="5"/>
  <c r="F105" i="5"/>
  <c r="D94" i="5"/>
  <c r="F112" i="5"/>
  <c r="D110" i="5"/>
  <c r="F126" i="5"/>
  <c r="G126" i="5" s="1"/>
  <c r="E115" i="5"/>
  <c r="F128" i="5"/>
  <c r="H116" i="5"/>
  <c r="I116" i="5" s="1"/>
  <c r="G116" i="5"/>
  <c r="G132" i="5"/>
  <c r="D18" i="5"/>
  <c r="F53" i="5"/>
  <c r="D35" i="5"/>
  <c r="E61" i="5"/>
  <c r="E68" i="5"/>
  <c r="E77" i="5"/>
  <c r="E84" i="5"/>
  <c r="E93" i="5"/>
  <c r="E100" i="5"/>
  <c r="E109" i="5"/>
  <c r="H121" i="5"/>
  <c r="I121" i="5" s="1"/>
  <c r="F68" i="5"/>
  <c r="D59" i="5"/>
  <c r="F77" i="5"/>
  <c r="F93" i="5"/>
  <c r="D82" i="5"/>
  <c r="F100" i="5"/>
  <c r="D114" i="5"/>
  <c r="F130" i="5"/>
  <c r="G130" i="5" s="1"/>
  <c r="E119" i="5"/>
  <c r="F132" i="5"/>
  <c r="H132" i="5" s="1"/>
  <c r="I132" i="5" s="1"/>
  <c r="H128" i="5"/>
  <c r="I128" i="5" s="1"/>
  <c r="G128" i="5"/>
  <c r="E47" i="5"/>
  <c r="F60" i="5"/>
  <c r="H60" i="5" s="1"/>
  <c r="I60" i="5" s="1"/>
  <c r="F64" i="5"/>
  <c r="E63" i="5"/>
  <c r="D66" i="5"/>
  <c r="F84" i="5"/>
  <c r="E79" i="5"/>
  <c r="F109" i="5"/>
  <c r="E95" i="5"/>
  <c r="D98" i="5"/>
  <c r="F116" i="5"/>
  <c r="F125" i="5"/>
  <c r="G125" i="5" s="1"/>
  <c r="E111" i="5"/>
  <c r="F51" i="5"/>
  <c r="D33" i="5"/>
  <c r="F59" i="5"/>
  <c r="H59" i="5" s="1"/>
  <c r="I59" i="5" s="1"/>
  <c r="E46" i="5"/>
  <c r="D41" i="5"/>
  <c r="E55" i="5"/>
  <c r="E97" i="5"/>
  <c r="E113" i="5"/>
  <c r="E117" i="5"/>
  <c r="H126" i="5"/>
  <c r="I126" i="5" s="1"/>
  <c r="H133" i="5"/>
  <c r="I133" i="5" s="1"/>
  <c r="E94" i="5"/>
  <c r="H108" i="5"/>
  <c r="I108" i="5" s="1"/>
  <c r="E110" i="5"/>
  <c r="H122" i="5"/>
  <c r="I122" i="5" s="1"/>
  <c r="H129" i="5"/>
  <c r="I129" i="5" s="1"/>
  <c r="D54" i="5"/>
  <c r="D61" i="5"/>
  <c r="D65" i="5"/>
  <c r="D69" i="5"/>
  <c r="D73" i="5"/>
  <c r="D77" i="5"/>
  <c r="D81" i="5"/>
  <c r="D85" i="5"/>
  <c r="D89" i="5"/>
  <c r="D93" i="5"/>
  <c r="D97" i="5"/>
  <c r="D101" i="5"/>
  <c r="D105" i="5"/>
  <c r="D109" i="5"/>
  <c r="D113" i="5"/>
  <c r="D117" i="5"/>
  <c r="F135" i="5"/>
  <c r="D121" i="5"/>
  <c r="D125" i="5"/>
  <c r="D129" i="5"/>
  <c r="D133" i="5"/>
  <c r="F72" i="5"/>
  <c r="E123" i="5"/>
  <c r="E127" i="5"/>
  <c r="E131" i="5"/>
  <c r="E135" i="5"/>
  <c r="D58" i="5"/>
  <c r="D63" i="5"/>
  <c r="D67" i="5"/>
  <c r="D71" i="5"/>
  <c r="D75" i="5"/>
  <c r="D79" i="5"/>
  <c r="F79" i="5"/>
  <c r="D83" i="5"/>
  <c r="F83" i="5"/>
  <c r="D87" i="5"/>
  <c r="F87" i="5"/>
  <c r="D91" i="5"/>
  <c r="F91" i="5"/>
  <c r="D95" i="5"/>
  <c r="F95" i="5"/>
  <c r="D99" i="5"/>
  <c r="F99" i="5"/>
  <c r="H99" i="5" s="1"/>
  <c r="I99" i="5" s="1"/>
  <c r="D103" i="5"/>
  <c r="F103" i="5"/>
  <c r="D107" i="5"/>
  <c r="F107" i="5"/>
  <c r="D111" i="5"/>
  <c r="F111" i="5"/>
  <c r="D115" i="5"/>
  <c r="F115" i="5"/>
  <c r="D119" i="5"/>
  <c r="F119" i="5"/>
  <c r="D123" i="5"/>
  <c r="F123" i="5"/>
  <c r="D127" i="5"/>
  <c r="F127" i="5"/>
  <c r="D131" i="5"/>
  <c r="F131" i="5"/>
  <c r="D135" i="5"/>
  <c r="F134" i="5"/>
  <c r="G134" i="5" s="1"/>
  <c r="H15" i="5" l="1"/>
  <c r="I15" i="5" s="1"/>
  <c r="G15" i="5"/>
  <c r="H131" i="5"/>
  <c r="I131" i="5" s="1"/>
  <c r="G131" i="5"/>
  <c r="H79" i="5"/>
  <c r="I79" i="5" s="1"/>
  <c r="G79" i="5"/>
  <c r="H84" i="5"/>
  <c r="I84" i="5" s="1"/>
  <c r="G84" i="5"/>
  <c r="H51" i="5"/>
  <c r="I51" i="5" s="1"/>
  <c r="G51" i="5"/>
  <c r="G36" i="5"/>
  <c r="H36" i="5"/>
  <c r="I36" i="5" s="1"/>
  <c r="G57" i="5"/>
  <c r="G92" i="5"/>
  <c r="H88" i="5"/>
  <c r="I88" i="5" s="1"/>
  <c r="G88" i="5"/>
  <c r="G22" i="5"/>
  <c r="H22" i="5"/>
  <c r="I22" i="5" s="1"/>
  <c r="H82" i="5"/>
  <c r="I82" i="5" s="1"/>
  <c r="G82" i="5"/>
  <c r="H103" i="5"/>
  <c r="I103" i="5" s="1"/>
  <c r="G103" i="5"/>
  <c r="H58" i="5"/>
  <c r="I58" i="5" s="1"/>
  <c r="G58" i="5"/>
  <c r="G44" i="5"/>
  <c r="H44" i="5"/>
  <c r="I44" i="5" s="1"/>
  <c r="H49" i="5"/>
  <c r="I49" i="5" s="1"/>
  <c r="G49" i="5"/>
  <c r="H102" i="5"/>
  <c r="I102" i="5" s="1"/>
  <c r="G37" i="5"/>
  <c r="H127" i="5"/>
  <c r="I127" i="5" s="1"/>
  <c r="G127" i="5"/>
  <c r="H77" i="5"/>
  <c r="I77" i="5" s="1"/>
  <c r="G77" i="5"/>
  <c r="H90" i="5"/>
  <c r="I90" i="5" s="1"/>
  <c r="G90" i="5"/>
  <c r="G18" i="5"/>
  <c r="H18" i="5"/>
  <c r="I18" i="5" s="1"/>
  <c r="H16" i="5"/>
  <c r="I16" i="5" s="1"/>
  <c r="G16" i="5"/>
  <c r="H81" i="5"/>
  <c r="I81" i="5" s="1"/>
  <c r="G81" i="5"/>
  <c r="H105" i="5"/>
  <c r="I105" i="5" s="1"/>
  <c r="G105" i="5"/>
  <c r="H71" i="5"/>
  <c r="I71" i="5" s="1"/>
  <c r="G71" i="5"/>
  <c r="H135" i="5"/>
  <c r="G135" i="5"/>
  <c r="H80" i="5"/>
  <c r="I80" i="5" s="1"/>
  <c r="G80" i="5"/>
  <c r="G14" i="5"/>
  <c r="H14" i="5"/>
  <c r="I14" i="5" s="1"/>
  <c r="H113" i="5"/>
  <c r="I113" i="5" s="1"/>
  <c r="G113" i="5"/>
  <c r="H111" i="5"/>
  <c r="I111" i="5" s="1"/>
  <c r="G111" i="5"/>
  <c r="H119" i="5"/>
  <c r="I119" i="5" s="1"/>
  <c r="G119" i="5"/>
  <c r="H68" i="5"/>
  <c r="I68" i="5" s="1"/>
  <c r="G68" i="5"/>
  <c r="H134" i="5"/>
  <c r="I134" i="5" s="1"/>
  <c r="H83" i="5"/>
  <c r="I83" i="5" s="1"/>
  <c r="G83" i="5"/>
  <c r="G60" i="5"/>
  <c r="H85" i="5"/>
  <c r="I85" i="5" s="1"/>
  <c r="G85" i="5"/>
  <c r="G124" i="5"/>
  <c r="G50" i="5"/>
  <c r="H50" i="5"/>
  <c r="I50" i="5" s="1"/>
  <c r="G19" i="5"/>
  <c r="H19" i="5"/>
  <c r="I19" i="5" s="1"/>
  <c r="H78" i="5"/>
  <c r="I78" i="5" s="1"/>
  <c r="G78" i="5"/>
  <c r="H107" i="5"/>
  <c r="I107" i="5" s="1"/>
  <c r="G107" i="5"/>
  <c r="H75" i="5"/>
  <c r="I75" i="5" s="1"/>
  <c r="G75" i="5"/>
  <c r="H73" i="5"/>
  <c r="I73" i="5" s="1"/>
  <c r="G73" i="5"/>
  <c r="H41" i="5"/>
  <c r="I41" i="5" s="1"/>
  <c r="G41" i="5"/>
  <c r="H66" i="5"/>
  <c r="I66" i="5" s="1"/>
  <c r="G66" i="5"/>
  <c r="G52" i="5"/>
  <c r="H52" i="5"/>
  <c r="I52" i="5" s="1"/>
  <c r="G21" i="5"/>
  <c r="H21" i="5"/>
  <c r="I21" i="5" s="1"/>
  <c r="H110" i="5"/>
  <c r="I110" i="5" s="1"/>
  <c r="G110" i="5"/>
  <c r="H63" i="5"/>
  <c r="I63" i="5" s="1"/>
  <c r="G63" i="5"/>
  <c r="H130" i="5"/>
  <c r="I130" i="5" s="1"/>
  <c r="H61" i="5"/>
  <c r="I61" i="5" s="1"/>
  <c r="G61" i="5"/>
  <c r="H125" i="5"/>
  <c r="I125" i="5" s="1"/>
  <c r="G42" i="5"/>
  <c r="H42" i="5"/>
  <c r="I42" i="5" s="1"/>
  <c r="H38" i="5"/>
  <c r="I38" i="5" s="1"/>
  <c r="G38" i="5"/>
  <c r="G48" i="5"/>
  <c r="H48" i="5"/>
  <c r="I48" i="5" s="1"/>
  <c r="G24" i="5"/>
  <c r="H24" i="5"/>
  <c r="I24" i="5" s="1"/>
  <c r="H87" i="5"/>
  <c r="I87" i="5" s="1"/>
  <c r="G87" i="5"/>
  <c r="G35" i="5"/>
  <c r="H35" i="5"/>
  <c r="I35" i="5" s="1"/>
  <c r="H30" i="5"/>
  <c r="I30" i="5" s="1"/>
  <c r="G30" i="5"/>
  <c r="H65" i="5"/>
  <c r="I65" i="5" s="1"/>
  <c r="G65" i="5"/>
  <c r="H33" i="5"/>
  <c r="I33" i="5" s="1"/>
  <c r="G33" i="5"/>
  <c r="G54" i="5"/>
  <c r="H54" i="5"/>
  <c r="I54" i="5" s="1"/>
  <c r="H55" i="5"/>
  <c r="I55" i="5" s="1"/>
  <c r="G55" i="5"/>
  <c r="H115" i="5"/>
  <c r="I115" i="5" s="1"/>
  <c r="G115" i="5"/>
  <c r="H112" i="5"/>
  <c r="I112" i="5" s="1"/>
  <c r="G112" i="5"/>
  <c r="H64" i="5"/>
  <c r="I64" i="5" s="1"/>
  <c r="G64" i="5"/>
  <c r="H89" i="5"/>
  <c r="I89" i="5" s="1"/>
  <c r="G89" i="5"/>
  <c r="G59" i="5"/>
  <c r="H39" i="5"/>
  <c r="I39" i="5" s="1"/>
  <c r="G39" i="5"/>
  <c r="H104" i="5"/>
  <c r="I104" i="5" s="1"/>
  <c r="G104" i="5"/>
  <c r="H67" i="5"/>
  <c r="I67" i="5" s="1"/>
  <c r="G67" i="5"/>
  <c r="H86" i="5"/>
  <c r="I86" i="5" s="1"/>
  <c r="G86" i="5"/>
  <c r="G12" i="5"/>
  <c r="H12" i="5"/>
  <c r="I12" i="5" s="1"/>
  <c r="H97" i="5"/>
  <c r="I97" i="5" s="1"/>
  <c r="G97" i="5"/>
  <c r="H94" i="5"/>
  <c r="I94" i="5" s="1"/>
  <c r="G94" i="5"/>
  <c r="H109" i="5"/>
  <c r="I109" i="5" s="1"/>
  <c r="G109" i="5"/>
  <c r="H96" i="5"/>
  <c r="I96" i="5" s="1"/>
  <c r="G96" i="5"/>
  <c r="H13" i="5"/>
  <c r="I13" i="5" s="1"/>
  <c r="G13" i="5"/>
  <c r="H43" i="5"/>
  <c r="I43" i="5" s="1"/>
  <c r="G43" i="5"/>
  <c r="G40" i="5"/>
  <c r="H40" i="5"/>
  <c r="I40" i="5" s="1"/>
  <c r="H91" i="5"/>
  <c r="I91" i="5" s="1"/>
  <c r="G91" i="5"/>
  <c r="H62" i="5"/>
  <c r="I62" i="5" s="1"/>
  <c r="G62" i="5"/>
  <c r="G26" i="5"/>
  <c r="H106" i="5"/>
  <c r="I106" i="5" s="1"/>
  <c r="G106" i="5"/>
  <c r="H72" i="5"/>
  <c r="I72" i="5" s="1"/>
  <c r="G72" i="5"/>
  <c r="G69" i="5"/>
  <c r="H93" i="5"/>
  <c r="I93" i="5" s="1"/>
  <c r="G93" i="5"/>
  <c r="H70" i="5"/>
  <c r="I70" i="5" s="1"/>
  <c r="G70" i="5"/>
  <c r="H34" i="5"/>
  <c r="I34" i="5" s="1"/>
  <c r="G34" i="5"/>
  <c r="H117" i="5"/>
  <c r="I117" i="5" s="1"/>
  <c r="G117" i="5"/>
  <c r="H123" i="5"/>
  <c r="I123" i="5" s="1"/>
  <c r="G123" i="5"/>
  <c r="G46" i="5"/>
  <c r="H46" i="5"/>
  <c r="I46" i="5" s="1"/>
  <c r="H95" i="5"/>
  <c r="I95" i="5" s="1"/>
  <c r="G95" i="5"/>
  <c r="H47" i="5"/>
  <c r="I47" i="5" s="1"/>
  <c r="G47" i="5"/>
  <c r="H100" i="5"/>
  <c r="I100" i="5" s="1"/>
  <c r="G100" i="5"/>
  <c r="G45" i="5"/>
  <c r="H45" i="5"/>
  <c r="I45" i="5" s="1"/>
  <c r="H31" i="5"/>
  <c r="I31" i="5" s="1"/>
  <c r="G31" i="5"/>
  <c r="G27" i="5"/>
  <c r="H101" i="5"/>
  <c r="I101" i="5" s="1"/>
  <c r="G101" i="5"/>
  <c r="H74" i="5"/>
  <c r="I74" i="5" s="1"/>
  <c r="G74" i="5"/>
  <c r="H53" i="5"/>
  <c r="I53" i="5" s="1"/>
  <c r="G53" i="5"/>
  <c r="H17" i="5"/>
  <c r="I17" i="5" s="1"/>
  <c r="G17" i="5"/>
  <c r="W5" i="6" l="1"/>
  <c r="I135" i="5"/>
</calcChain>
</file>

<file path=xl/sharedStrings.xml><?xml version="1.0" encoding="utf-8"?>
<sst xmlns="http://schemas.openxmlformats.org/spreadsheetml/2006/main" count="352" uniqueCount="316">
  <si>
    <t>🇱🇰   CSE LIVE PRICES  —  Colombo Stock Exchange</t>
  </si>
  <si>
    <t>Last updated: 2026-05-29  13:41:50   |   Source: cse.lk   |   Currency: LKR</t>
  </si>
  <si>
    <t>Symbol</t>
  </si>
  <si>
    <t>Company Name</t>
  </si>
  <si>
    <t>Last Price (LKR)</t>
  </si>
  <si>
    <t>Change (LKR)</t>
  </si>
  <si>
    <t>Change %</t>
  </si>
  <si>
    <t>Market Cap (LKR)</t>
  </si>
  <si>
    <t>Fetched At</t>
  </si>
  <si>
    <t>COMB.N0000</t>
  </si>
  <si>
    <t>COMMERCIAL BANK OF CEYLON PLC</t>
  </si>
  <si>
    <t>2026-05-29 13:41</t>
  </si>
  <si>
    <t>LOLC.N0000</t>
  </si>
  <si>
    <t>L O L C HOLDINGS PLC</t>
  </si>
  <si>
    <t>DIAL.N0000</t>
  </si>
  <si>
    <t>DIALOG AXIATA PLC</t>
  </si>
  <si>
    <t>JKH.N0000</t>
  </si>
  <si>
    <t>JOHN KEELLS HOLDINGS PLC</t>
  </si>
  <si>
    <t>HNB.N0000</t>
  </si>
  <si>
    <t>HATTON NATIONAL BANK PLC</t>
  </si>
  <si>
    <t>SAMP.N0000</t>
  </si>
  <si>
    <t>SAMPATH BANK PLC</t>
  </si>
  <si>
    <t>NTB.N0000</t>
  </si>
  <si>
    <t>NATIONS TRUST BANK PLC</t>
  </si>
  <si>
    <t>GRAN.N0000</t>
  </si>
  <si>
    <t>CEYLON GRAIN ELEVATORS PLC</t>
  </si>
  <si>
    <t>CTC.N0000</t>
  </si>
  <si>
    <t>CEYLON TOBACCO COMPANY PLC</t>
  </si>
  <si>
    <t>CARS.N0000</t>
  </si>
  <si>
    <t>CARSON CUMBERBATCH PLC</t>
  </si>
  <si>
    <t>✅  10 stocks tracked  •  Run script daily to keep prices updated  •  python cse_updater.py</t>
  </si>
  <si>
    <t>📊  TODAY'S MARKET MOVERS  —  Friday, 29 May 2026</t>
  </si>
  <si>
    <t>🟢  TOP GAINERS</t>
  </si>
  <si>
    <t>🔴  TOP LOSERS</t>
  </si>
  <si>
    <t>Company</t>
  </si>
  <si>
    <t>Price (LKR)</t>
  </si>
  <si>
    <t>ASPH.N0000</t>
  </si>
  <si>
    <t>PARA.N0000</t>
  </si>
  <si>
    <t>SMOT.N0000</t>
  </si>
  <si>
    <t>SINH.N0000</t>
  </si>
  <si>
    <t>OFEQ.N0000</t>
  </si>
  <si>
    <t>NEH.N0000</t>
  </si>
  <si>
    <t>PHAR.N0000</t>
  </si>
  <si>
    <t>SLND.N0000</t>
  </si>
  <si>
    <t>UBF.N0000</t>
  </si>
  <si>
    <t>CITH.N0000</t>
  </si>
  <si>
    <t>UDPL.N0000</t>
  </si>
  <si>
    <t>SHOT.X0000</t>
  </si>
  <si>
    <t>HNBF.N0000</t>
  </si>
  <si>
    <t>CFVF.N0000</t>
  </si>
  <si>
    <t>ETWO.N0000</t>
  </si>
  <si>
    <t>COMD.N0000</t>
  </si>
  <si>
    <t>LGL.X0000</t>
  </si>
  <si>
    <t>COCO.N0000</t>
  </si>
  <si>
    <t>AUTO.N0000</t>
  </si>
  <si>
    <t>KPHL.N0000</t>
  </si>
  <si>
    <t>🔥  MOST ACTIVE TRADES  (by Volume)</t>
  </si>
  <si>
    <t>Volume</t>
  </si>
  <si>
    <t>CWL.N0000</t>
  </si>
  <si>
    <t>HNBF.X0000</t>
  </si>
  <si>
    <t>CIC.N0000</t>
  </si>
  <si>
    <t>AEL.N0000</t>
  </si>
  <si>
    <t>🇱🇰   CSE STOCK MARKET TREND ANALYZER</t>
  </si>
  <si>
    <t>Colombo Stock Exchange  •  Automated Daily Tracker  •  All prices in LKR</t>
  </si>
  <si>
    <t>💡  WHAT THIS FILE DOES</t>
  </si>
  <si>
    <t>✅  Tracks real CSE stock prices — fetched directly from cse.lk</t>
  </si>
  <si>
    <t>✅  Builds your price history automatically — one new row added every day you run the script</t>
  </si>
  <si>
    <t>✅  Calculates moving averages &amp; BUY/SELL signals automatically using Excel formulas</t>
  </si>
  <si>
    <t>✅  Shows interactive charts that update themselves as new data arrives</t>
  </si>
  <si>
    <t>✅  Displays today's top gainers, losers &amp; most active CSE stocks</t>
  </si>
  <si>
    <t>✅  Zero manual data entry — just run the Python script and open this file</t>
  </si>
  <si>
    <t>🤖  HOW THE AUTOMATION WORKS</t>
  </si>
  <si>
    <t>STEP 1</t>
  </si>
  <si>
    <t>Run the Python script</t>
  </si>
  <si>
    <t>↓  runs automatically</t>
  </si>
  <si>
    <t>Open Command Prompt → go to your project folder → type:
  python cse_updater.py
Then press Enter.</t>
  </si>
  <si>
    <t>STEP 2</t>
  </si>
  <si>
    <t>Script fetches live CSE data</t>
  </si>
  <si>
    <t>It connects to cse.lk API and downloads:
  • Today's price for your primary stock (COMB.N0000)
  • Live prices for all 10 tracked stocks
  • Today's top gainers, losers &amp; most active</t>
  </si>
  <si>
    <t>STEP 3</t>
  </si>
  <si>
    <t>RAW DATA sheet gets a new row</t>
  </si>
  <si>
    <t>Today's Date, Open, High, Low, Close, Volume is
automatically added to the RAW DATA sheet.
Run it tomorrow → another row is added. And so on.</t>
  </si>
  <si>
    <t>STEP 4</t>
  </si>
  <si>
    <t>ANALYSIS sheet auto-calculates</t>
  </si>
  <si>
    <t>Excel formulas instantly recalculate:
  • Daily Return %  • 7-Day Moving Average
  • 20-Day Moving Average  • BUY/SELL Signals</t>
  </si>
  <si>
    <t>STEP 5</t>
  </si>
  <si>
    <t>DASHBOARD updates automatically</t>
  </si>
  <si>
    <t>🎉  Done!</t>
  </si>
  <si>
    <t>Charts and KPI cards refresh from the new data.
No clicking. No manual work. Just open the file!</t>
  </si>
  <si>
    <t>📂  WHAT EACH SHEET DOES</t>
  </si>
  <si>
    <t/>
  </si>
  <si>
    <t>📋 HOW IT WORKS</t>
  </si>
  <si>
    <t>→  This sheet — read it first!</t>
  </si>
  <si>
    <t>Full guide to understand the file and the automation.</t>
  </si>
  <si>
    <t>🇱🇰 CSE LIVE PRICES</t>
  </si>
  <si>
    <t>→  Updated every time you run the script</t>
  </si>
  <si>
    <t>Shows real-time prices, change %, and market cap for all 10 tracked stocks.</t>
  </si>
  <si>
    <t>📊 GAINERS &amp; LOSERS</t>
  </si>
  <si>
    <t>Today's top 10 gaining stocks, top 10 losing stocks, and most active trades.</t>
  </si>
  <si>
    <t>📊 RAW DATA</t>
  </si>
  <si>
    <t>→  Grows by 1 row every trading day</t>
  </si>
  <si>
    <t>Stores the price history for COMB.N0000. Date, Open, High, Low, Close, Volume.</t>
  </si>
  <si>
    <t>🔬 ANALYSIS</t>
  </si>
  <si>
    <t>→  Auto-calculates from RAW DATA</t>
  </si>
  <si>
    <t>Daily Return %, 7-Day MA, 20-Day MA, BUY/SELL signals — all Excel formulas.</t>
  </si>
  <si>
    <t>📈 DASHBOARD</t>
  </si>
  <si>
    <t>→  Auto-updates from ANALYSIS</t>
  </si>
  <si>
    <t>KPI cards + 2 charts (Price &amp; Moving Averages, Daily Return %).</t>
  </si>
  <si>
    <t>➕  HOW TO ADD MORE STOCKS</t>
  </si>
  <si>
    <t>1</t>
  </si>
  <si>
    <t>Open  cse_updater.py  in Notepad (right-click → Open with → Notepad)</t>
  </si>
  <si>
    <t>2</t>
  </si>
  <si>
    <t>Find the section that says  STOCKS_TO_TRACK  near the top</t>
  </si>
  <si>
    <t>3</t>
  </si>
  <si>
    <t>Add a new line inside the list:    "SAMP.N0000",   # Sampath Bank</t>
  </si>
  <si>
    <t>4</t>
  </si>
  <si>
    <t>Save the file (Ctrl+S) and run:  python cse_updater.py</t>
  </si>
  <si>
    <t>5</t>
  </si>
  <si>
    <t>The new stock appears in the Live Prices sheet automatically</t>
  </si>
  <si>
    <t>💡  Find any CSE stock symbol at:  www.cse.lk  (format is always SYMBOL.N0000)</t>
  </si>
  <si>
    <t>⚠️  IMPORTANT NOTES</t>
  </si>
  <si>
    <t xml:space="preserve">  ⚠️  Run the script on trading days only  (Mon–Fri, after 2:30 PM when CSE closes)</t>
  </si>
  <si>
    <t xml:space="preserve">  ⚠️  If you run the script twice on the same day — no problem! It will NOT add duplicate rows</t>
  </si>
  <si>
    <t xml:space="preserve">  ⚠️  Do NOT edit or delete rows in the RAW DATA sheet — the formulas depend on the order</t>
  </si>
  <si>
    <t xml:space="preserve">  ⚠️  Do NOT change column order in RAW DATA  (Date must be col B, Open col C, etc.)</t>
  </si>
  <si>
    <t xml:space="preserve">  ⚠️  The sample data in RAW DATA is for COMB.N0000 — it will be replaced by real data over time</t>
  </si>
  <si>
    <t xml:space="preserve">  ⚠️  After 20+ days of running the script, your moving average charts will look much better</t>
  </si>
  <si>
    <t xml:space="preserve">  ⚠️  To change the primary tracked stock, edit PRIMARY_STOCK in cse_updater.py</t>
  </si>
  <si>
    <t>🚀  QUICK START — 3 STEPS</t>
  </si>
  <si>
    <t>Step 1</t>
  </si>
  <si>
    <t>Put  CSE_Stock_Trend_Analyzer.xlsx  and  cse_updater.py  in the same folder</t>
  </si>
  <si>
    <t>Step 2</t>
  </si>
  <si>
    <t>Open Command Prompt in that folder → run:  python cse_updater.py</t>
  </si>
  <si>
    <t>Step 3</t>
  </si>
  <si>
    <t>Open this Excel file → go to 📈 DASHBOARD sheet → see your data!</t>
  </si>
  <si>
    <t>📊  RAW DATA  —  COMB.N0000  (Commercial Bank of Ceylon)  •  LKR</t>
  </si>
  <si>
    <t>One new row is added here automatically every day you run:  python cse_updater.py</t>
  </si>
  <si>
    <t>2026-05-29</t>
  </si>
  <si>
    <t>⚠️  DO NOT manually edit this sheet — the script manages it automatically. Do NOT change column order or delete rows.</t>
  </si>
  <si>
    <t>Date</t>
  </si>
  <si>
    <t>Open (LKR)</t>
  </si>
  <si>
    <t>High (LKR)</t>
  </si>
  <si>
    <t>Low (LKR)</t>
  </si>
  <si>
    <t>Close (LKR)</t>
  </si>
  <si>
    <t>Trading date (YYYY-MM-DD)</t>
  </si>
  <si>
    <t>Opening price of the day</t>
  </si>
  <si>
    <t>Highest price of the day</t>
  </si>
  <si>
    <t>Lowest price of the day</t>
  </si>
  <si>
    <t>Closing price ← most important</t>
  </si>
  <si>
    <t>Number of shares traded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</si>
  <si>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</si>
  <si>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</si>
  <si>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</si>
  <si>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</si>
  <si>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</si>
  <si>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</si>
  <si>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</si>
  <si>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</si>
  <si>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</si>
  <si>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</si>
  <si>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</si>
  <si>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</si>
  <si>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</si>
  <si>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</si>
  <si>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</si>
  <si>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</si>
  <si>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</si>
  <si>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</si>
  <si>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</si>
  <si>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</si>
  <si>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</si>
  <si>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</si>
  <si>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</si>
  <si>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</si>
  <si>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</si>
  <si>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</si>
  <si>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</si>
  <si>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</si>
  <si>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</si>
  <si>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</si>
  <si>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</si>
  <si>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</si>
  <si>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</si>
  <si>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</si>
  <si>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</si>
  <si>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</si>
  <si>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</si>
  <si>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</si>
  <si>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</si>
  <si>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</si>
  <si>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</si>
  <si>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</si>
  <si>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</si>
  <si>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</si>
  <si>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</si>
  <si>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</si>
  <si>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</si>
  <si>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</si>
  <si>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</si>
  <si>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</si>
  <si>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</si>
  <si>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</si>
  <si>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</si>
  <si>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</si>
  <si>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</si>
  <si>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</si>
  <si>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</si>
  <si>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</si>
  <si>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</si>
  <si>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</si>
  <si>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</si>
  <si>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</si>
  <si>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</si>
  <si>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</si>
  <si>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</si>
  <si>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</si>
  <si>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</si>
  <si>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</si>
  <si>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</si>
  <si>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</si>
  <si>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</si>
  <si>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</si>
  <si>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</si>
  <si>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</si>
  <si>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</si>
  <si>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</si>
  <si>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</si>
  <si>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</si>
  <si>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</si>
  <si>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</si>
  <si>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</si>
  <si>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</si>
  <si>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</si>
  <si>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</si>
  <si>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</si>
  <si>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</si>
  <si>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</si>
  <si>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</si>
  <si>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</si>
  <si>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</si>
  <si>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</si>
  <si>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</si>
  <si>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</si>
  <si>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</si>
  <si>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</si>
  <si>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</si>
  <si>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</si>
  <si>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</si>
  <si>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</si>
  <si>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</si>
  <si>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</si>
  <si>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</si>
  <si>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</si>
  <si>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</si>
  <si>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</si>
  <si>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</si>
  <si>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</si>
  <si>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</si>
  <si>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</si>
  <si>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</si>
  <si>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</si>
  <si>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</si>
  <si>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</si>
  <si>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</si>
  <si>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</si>
  <si>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</si>
  <si>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</si>
  <si>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</si>
  <si>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</si>
  <si>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</si>
  <si>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</si>
  <si>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</si>
  <si>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</si>
  <si>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</si>
  <si>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</si>
  <si>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</si>
  <si>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</si>
  <si>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</si>
  <si>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</si>
  <si>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</si>
  <si>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🔬  ANALYSIS  —  COMB.N0000  •  All formulas auto-calculate from RAW DATA</t>
  </si>
  <si>
    <t>DO NOT edit this sheet — everything updates automatically when RAW DATA changes</t>
  </si>
  <si>
    <t>Date from RAW DATA</t>
  </si>
  <si>
    <t>Closing price (LKR)</t>
  </si>
  <si>
    <t>% change vs yesterday</t>
  </si>
  <si>
    <t>Avg of last 7 closes</t>
  </si>
  <si>
    <t>Avg of last 20 closes</t>
  </si>
  <si>
    <t>7MA minus 20MA %</t>
  </si>
  <si>
    <t>BUY▲ or SELL▼</t>
  </si>
  <si>
    <t>Plain English explanation</t>
  </si>
  <si>
    <t>Daily Return %</t>
  </si>
  <si>
    <t>7-Day MA</t>
  </si>
  <si>
    <t>20-Day MA</t>
  </si>
  <si>
    <t>MA Diff %</t>
  </si>
  <si>
    <t>Signal</t>
  </si>
  <si>
    <t>What It Means</t>
  </si>
  <si>
    <t>""</t>
  </si>
  <si>
    <t>📈   CSE STOCK TREND ANALYZER   —   DASHBOARD   🇱🇰</t>
  </si>
  <si>
    <t>COMB.N0000  (Commercial Bank of Ceylon)  •  Sample: Oct 2025–Mar 2026  •  Run cse_updater.py daily to update  •  LKR</t>
  </si>
  <si>
    <t>🏁  START PRICE (LKR)</t>
  </si>
  <si>
    <t>🏆  LATEST PRICE (LKR)</t>
  </si>
  <si>
    <t>📈  TOTAL RETURN</t>
  </si>
  <si>
    <t>📊  LATEST SIGNAL</t>
  </si>
  <si>
    <t>📖   HOW TO READ THIS DASHBOARD</t>
  </si>
  <si>
    <t>Blue Line = Close Price</t>
  </si>
  <si>
    <t>The actual CSE stock price each trading day in LKR.</t>
  </si>
  <si>
    <t>Orange Line = 7-Day MA</t>
  </si>
  <si>
    <t>Average of last 7 closing prices. Reacts fast to price movements.</t>
  </si>
  <si>
    <t>Red Line = 20-Day MA</t>
  </si>
  <si>
    <t>Average of last 20 closing prices. Shows the overall trend direction.</t>
  </si>
  <si>
    <t>BUY ▲  (green cell in ANALYSIS)</t>
  </si>
  <si>
    <t>7-Day MA crossed above 20-Day MA — price gaining upward momentum.</t>
  </si>
  <si>
    <t>SELL ▼  (red cell in ANALYSIS)</t>
  </si>
  <si>
    <t>7-Day MA crossed below 20-Day MA — price losing momentum.</t>
  </si>
  <si>
    <t>How to update charts with real data</t>
  </si>
  <si>
    <t>Run  python cse_updater.py  every trading day — data grows automatically!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</si>
</sst>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;\(#,##0.00\);&quot;-&quot;"/>
  </numFmts>
  <fonts count="38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2"/>
      <color rgb="FFFFFFFF"/>
      <name val="Arial"/>
      <charset val="1"/>
    </font>
    <font>
      <b/>
      <sz val="13"/>
      <color rgb="FFFFFFFF"/>
      <name val="Arial"/>
      <charset val="1"/>
    </font>
    <font>
      <sz val="11"/>
      <color rgb="FF1F3864"/>
      <name val="Arial"/>
      <charset val="1"/>
    </font>
    <font>
      <b/>
      <sz val="10"/>
      <color rgb="FFFFFFFF"/>
      <name val="Arial"/>
      <charset val="1"/>
    </font>
    <font>
      <b/>
      <sz val="12"/>
      <color rgb="FF1F3864"/>
      <name val="Arial"/>
      <charset val="1"/>
    </font>
    <font>
      <i/>
      <sz val="10"/>
      <color rgb="FF2E75B6"/>
      <name val="Arial"/>
      <charset val="1"/>
    </font>
    <font>
      <sz val="10"/>
      <color rgb="FF595959"/>
      <name val="Arial"/>
      <charset val="1"/>
    </font>
    <font>
      <b/>
      <sz val="11"/>
      <color rgb="FFFFFFFF"/>
      <name val="Arial"/>
      <charset val="1"/>
    </font>
    <font>
      <i/>
      <sz val="10"/>
      <color rgb="FFFFFFFF"/>
      <name val="Arial"/>
      <charset val="1"/>
    </font>
    <font>
      <sz val="10"/>
      <color rgb="FF1F3864"/>
      <name val="Arial"/>
      <charset val="1"/>
    </font>
    <font>
      <b/>
      <i/>
      <sz val="10"/>
      <color rgb="FF2E75B6"/>
      <name val="Arial"/>
      <charset val="1"/>
    </font>
    <font>
      <b/>
      <sz val="13"/>
      <color rgb="FF1F3864"/>
      <name val="Arial"/>
      <charset val="1"/>
    </font>
    <font>
      <sz val="10"/>
      <color rgb="FF9C0006"/>
      <name val="Arial"/>
      <charset val="1"/>
    </font>
    <font>
      <b/>
      <sz val="11"/>
      <color rgb="FF375623"/>
      <name val="Arial"/>
      <charset val="1"/>
    </font>
    <font>
      <b/>
      <sz val="10"/>
      <color rgb="FF1F3864"/>
      <name val="Arial"/>
      <charset val="1"/>
    </font>
    <font>
      <b/>
      <sz val="12"/>
      <color rgb="FFFFFFFF"/>
      <name val="Arial"/>
      <charset val="1"/>
    </font>
    <font>
      <b/>
      <sz val="10"/>
      <color rgb="FF9C0006"/>
      <name val="Arial"/>
      <charset val="1"/>
    </font>
    <font>
      <i/>
      <sz val="8"/>
      <color rgb="FF595959"/>
      <name val="Arial"/>
      <charset val="1"/>
    </font>
    <font>
      <sz val="10"/>
      <name val="Arial"/>
      <charset val="1"/>
    </font>
    <font>
      <i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7"/>
      <color rgb="FFFFFFFF"/>
      <name val="Arial"/>
      <charset val="1"/>
    </font>
    <font>
      <sz val="10"/>
      <color rgb="FF000000"/>
      <name val="Arial"/>
    </font>
    <font>
      <b/>
      <sz val="10"/>
      <color rgb="FF000000"/>
      <name val="Arial"/>
    </font>
    <font>
      <b/>
      <sz val="16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sz val="10"/>
      <color rgb="FF375623"/>
      <name val="Arial"/>
    </font>
    <font>
      <sz val="10"/>
      <color rgb="FF595959"/>
      <name val="Arial"/>
    </font>
    <font>
      <sz val="10"/>
      <color rgb="FF9C0006"/>
      <name val="Arial"/>
    </font>
    <font>
      <i/>
      <sz val="9"/>
      <color rgb="FF595959"/>
      <name val="Arial"/>
    </font>
    <font>
      <b/>
      <sz val="14"/>
      <color rgb="FFFFFFFF"/>
      <name val="Arial"/>
    </font>
    <font>
      <b/>
      <sz val="12"/>
      <color rgb="FFFFFFFF"/>
      <name val="Arial"/>
    </font>
    <font>
      <b/>
      <sz val="10"/>
      <color rgb="FF375623"/>
      <name val="Arial"/>
    </font>
    <font>
      <b/>
      <sz val="10"/>
      <color rgb="FF9C0006"/>
      <name val="Arial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CCCCCC"/>
      </patternFill>
    </fill>
    <fill>
      <patternFill patternType="solid">
        <fgColor rgb="FFFFD700"/>
        <bgColor rgb="FFFFFF00"/>
      </patternFill>
    </fill>
    <fill>
      <patternFill patternType="solid">
        <fgColor rgb="FFF2F2F2"/>
        <bgColor rgb="FFFFE7E7"/>
      </patternFill>
    </fill>
    <fill>
      <patternFill patternType="solid">
        <fgColor rgb="FF70AD47"/>
        <bgColor rgb="FF878787"/>
      </patternFill>
    </fill>
    <fill>
      <patternFill patternType="solid">
        <fgColor rgb="FFFFF2CC"/>
        <bgColor rgb="FFFFE7E7"/>
      </patternFill>
    </fill>
    <fill>
      <patternFill patternType="solid">
        <fgColor rgb="FF375623"/>
        <bgColor rgb="FF595959"/>
      </patternFill>
    </fill>
    <fill>
      <patternFill patternType="solid">
        <fgColor rgb="FFC6EFCE"/>
        <bgColor rgb="FFE2EFDA"/>
      </patternFill>
    </fill>
    <fill>
      <patternFill patternType="solid">
        <fgColor rgb="FF595959"/>
        <bgColor rgb="FF375623"/>
      </patternFill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375623"/>
        <bgColor rgb="FF375623"/>
      </patternFill>
    </fill>
    <fill>
      <patternFill patternType="solid">
        <fgColor rgb="FF9C0006"/>
        <bgColor rgb="FF9C0006"/>
      </patternFill>
    </fill>
    <fill>
      <patternFill patternType="solid">
        <fgColor rgb="FFE2EFDA"/>
        <bgColor rgb="FFE2EFDA"/>
      </patternFill>
    </fill>
    <fill>
      <patternFill patternType="solid">
        <fgColor rgb="FFFFE7E7"/>
        <bgColor rgb="FFFFE7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6" fillId="5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  <xf numFmtId="0" fontId="8" fillId="7" borderId="0" xfId="0" applyFont="1" applyFill="1" applyAlignment="1">
      <alignment horizontal="left" vertical="center" wrapText="1" indent="1"/>
    </xf>
    <xf numFmtId="0" fontId="0" fillId="4" borderId="0" xfId="0" applyFill="1"/>
    <xf numFmtId="0" fontId="9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  <xf numFmtId="0" fontId="9" fillId="6" borderId="0" xfId="0" applyFont="1" applyFill="1" applyAlignment="1">
      <alignment horizontal="left" vertical="center" indent="1"/>
    </xf>
    <xf numFmtId="0" fontId="10" fillId="6" borderId="0" xfId="0" applyFont="1" applyFill="1" applyAlignment="1">
      <alignment horizontal="left" vertical="center" indent="1"/>
    </xf>
    <xf numFmtId="0" fontId="9" fillId="8" borderId="0" xfId="0" applyFont="1" applyFill="1" applyAlignment="1">
      <alignment horizontal="left" vertical="center" indent="1"/>
    </xf>
    <xf numFmtId="0" fontId="10" fillId="8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164" fontId="20" fillId="7" borderId="1" xfId="0" applyNumberFormat="1" applyFont="1" applyFill="1" applyBorder="1" applyAlignment="1">
      <alignment horizontal="center" vertical="center"/>
    </xf>
    <xf numFmtId="4" fontId="20" fillId="7" borderId="1" xfId="0" applyNumberFormat="1" applyFont="1" applyFill="1" applyBorder="1" applyAlignment="1">
      <alignment horizontal="center" vertical="center"/>
    </xf>
    <xf numFmtId="3" fontId="20" fillId="7" borderId="1" xfId="0" applyNumberFormat="1" applyFont="1" applyFill="1" applyBorder="1" applyAlignment="1">
      <alignment horizontal="center" vertical="center"/>
    </xf>
    <xf numFmtId="164" fontId="20" fillId="4" borderId="1" xfId="0" applyNumberFormat="1" applyFont="1" applyFill="1" applyBorder="1" applyAlignment="1">
      <alignment horizontal="center" vertical="center"/>
    </xf>
    <xf numFmtId="4" fontId="20" fillId="4" borderId="1" xfId="0" applyNumberFormat="1" applyFont="1" applyFill="1" applyBorder="1" applyAlignment="1">
      <alignment horizontal="center" vertical="center"/>
    </xf>
    <xf numFmtId="3" fontId="20" fillId="4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10" fontId="20" fillId="4" borderId="1" xfId="0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10" fontId="20" fillId="7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 wrapText="1"/>
    </xf>
    <xf numFmtId="0" fontId="28" fillId="15" borderId="2" xfId="0" applyFont="1" applyFill="1" applyBorder="1" applyAlignment="1">
      <alignment horizontal="center" vertical="center"/>
    </xf>
    <xf numFmtId="0" fontId="29" fillId="16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left" vertical="center"/>
    </xf>
    <xf numFmtId="4" fontId="25" fillId="16" borderId="2" xfId="0" applyNumberFormat="1" applyFont="1" applyFill="1" applyBorder="1" applyAlignment="1">
      <alignment horizontal="center" vertical="center"/>
    </xf>
    <xf numFmtId="165" fontId="30" fillId="17" borderId="2" xfId="0" applyNumberFormat="1" applyFont="1" applyFill="1" applyBorder="1" applyAlignment="1">
      <alignment horizontal="center" vertical="center"/>
    </xf>
    <xf numFmtId="10" fontId="30" fillId="17" borderId="2" xfId="0" applyNumberFormat="1" applyFont="1" applyFill="1" applyBorder="1" applyAlignment="1">
      <alignment horizontal="center" vertical="center"/>
    </xf>
    <xf numFmtId="3" fontId="24" fillId="16" borderId="2" xfId="0" applyNumberFormat="1" applyFont="1" applyFill="1" applyBorder="1" applyAlignment="1">
      <alignment horizontal="center" vertical="center"/>
    </xf>
    <xf numFmtId="0" fontId="31" fillId="16" borderId="2" xfId="0" applyFont="1" applyFill="1" applyBorder="1" applyAlignment="1">
      <alignment horizontal="center" vertical="center"/>
    </xf>
    <xf numFmtId="0" fontId="29" fillId="13" borderId="2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left" vertical="center"/>
    </xf>
    <xf numFmtId="4" fontId="25" fillId="13" borderId="2" xfId="0" applyNumberFormat="1" applyFont="1" applyFill="1" applyBorder="1" applyAlignment="1">
      <alignment horizontal="center" vertical="center"/>
    </xf>
    <xf numFmtId="165" fontId="32" fillId="18" borderId="2" xfId="0" applyNumberFormat="1" applyFont="1" applyFill="1" applyBorder="1" applyAlignment="1">
      <alignment horizontal="center" vertical="center"/>
    </xf>
    <xf numFmtId="10" fontId="32" fillId="18" borderId="2" xfId="0" applyNumberFormat="1" applyFont="1" applyFill="1" applyBorder="1" applyAlignment="1">
      <alignment horizontal="center" vertical="center"/>
    </xf>
    <xf numFmtId="3" fontId="24" fillId="13" borderId="2" xfId="0" applyNumberFormat="1" applyFont="1" applyFill="1" applyBorder="1" applyAlignment="1">
      <alignment horizontal="center" vertical="center"/>
    </xf>
    <xf numFmtId="0" fontId="31" fillId="13" borderId="2" xfId="0" applyFont="1" applyFill="1" applyBorder="1" applyAlignment="1">
      <alignment horizontal="center" vertical="center"/>
    </xf>
    <xf numFmtId="0" fontId="28" fillId="19" borderId="2" xfId="0" applyFont="1" applyFill="1" applyBorder="1" applyAlignment="1">
      <alignment horizontal="center" vertical="center"/>
    </xf>
    <xf numFmtId="0" fontId="28" fillId="20" borderId="2" xfId="0" applyFont="1" applyFill="1" applyBorder="1" applyAlignment="1">
      <alignment horizontal="center" vertical="center"/>
    </xf>
    <xf numFmtId="0" fontId="36" fillId="21" borderId="2" xfId="0" applyFont="1" applyFill="1" applyBorder="1" applyAlignment="1">
      <alignment horizontal="center" vertical="center"/>
    </xf>
    <xf numFmtId="0" fontId="24" fillId="21" borderId="2" xfId="0" applyFont="1" applyFill="1" applyBorder="1" applyAlignment="1">
      <alignment horizontal="left" vertical="center"/>
    </xf>
    <xf numFmtId="4" fontId="24" fillId="21" borderId="2" xfId="0" applyNumberFormat="1" applyFont="1" applyFill="1" applyBorder="1" applyAlignment="1">
      <alignment horizontal="center" vertical="center"/>
    </xf>
    <xf numFmtId="10" fontId="36" fillId="21" borderId="2" xfId="0" applyNumberFormat="1" applyFont="1" applyFill="1" applyBorder="1" applyAlignment="1">
      <alignment horizontal="center" vertical="center"/>
    </xf>
    <xf numFmtId="0" fontId="37" fillId="22" borderId="2" xfId="0" applyFont="1" applyFill="1" applyBorder="1" applyAlignment="1">
      <alignment horizontal="center" vertical="center"/>
    </xf>
    <xf numFmtId="0" fontId="24" fillId="22" borderId="2" xfId="0" applyFont="1" applyFill="1" applyBorder="1" applyAlignment="1">
      <alignment horizontal="left" vertical="center"/>
    </xf>
    <xf numFmtId="4" fontId="24" fillId="22" borderId="2" xfId="0" applyNumberFormat="1" applyFont="1" applyFill="1" applyBorder="1" applyAlignment="1">
      <alignment horizontal="center" vertical="center"/>
    </xf>
    <xf numFmtId="10" fontId="37" fillId="22" borderId="2" xfId="0" applyNumberFormat="1" applyFont="1" applyFill="1" applyBorder="1" applyAlignment="1">
      <alignment horizontal="center" vertical="center"/>
    </xf>
    <xf numFmtId="0" fontId="36" fillId="17" borderId="2" xfId="0" applyFont="1" applyFill="1" applyBorder="1" applyAlignment="1">
      <alignment horizontal="center" vertical="center"/>
    </xf>
    <xf numFmtId="0" fontId="24" fillId="17" borderId="2" xfId="0" applyFont="1" applyFill="1" applyBorder="1" applyAlignment="1">
      <alignment horizontal="left" vertical="center"/>
    </xf>
    <xf numFmtId="4" fontId="24" fillId="17" borderId="2" xfId="0" applyNumberFormat="1" applyFont="1" applyFill="1" applyBorder="1" applyAlignment="1">
      <alignment horizontal="center" vertical="center"/>
    </xf>
    <xf numFmtId="10" fontId="36" fillId="17" borderId="2" xfId="0" applyNumberFormat="1" applyFont="1" applyFill="1" applyBorder="1" applyAlignment="1">
      <alignment horizontal="center" vertical="center"/>
    </xf>
    <xf numFmtId="0" fontId="37" fillId="18" borderId="2" xfId="0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vertical="center"/>
    </xf>
    <xf numFmtId="4" fontId="24" fillId="18" borderId="2" xfId="0" applyNumberFormat="1" applyFont="1" applyFill="1" applyBorder="1" applyAlignment="1">
      <alignment horizontal="center" vertical="center"/>
    </xf>
    <xf numFmtId="10" fontId="37" fillId="18" borderId="2" xfId="0" applyNumberFormat="1" applyFont="1" applyFill="1" applyBorder="1" applyAlignment="1">
      <alignment horizontal="center" vertical="center"/>
    </xf>
    <xf numFmtId="4" fontId="24" fillId="16" borderId="2" xfId="0" applyNumberFormat="1" applyFont="1" applyFill="1" applyBorder="1" applyAlignment="1">
      <alignment horizontal="center" vertical="center"/>
    </xf>
    <xf numFmtId="4" fontId="24" fillId="13" borderId="2" xfId="0" applyNumberFormat="1" applyFont="1" applyFill="1" applyBorder="1" applyAlignment="1">
      <alignment horizontal="center" vertical="center"/>
    </xf>
    <xf numFmtId="164" fontId="24" fillId="13" borderId="2" xfId="0" applyNumberFormat="1" applyFont="1" applyFill="1" applyBorder="1" applyAlignment="1">
      <alignment horizontal="center" vertical="center"/>
    </xf>
    <xf numFmtId="0" fontId="26" fillId="14" borderId="0" xfId="0" applyFont="1" applyFill="1" applyAlignment="1">
      <alignment horizontal="center" vertical="center"/>
    </xf>
    <xf numFmtId="0" fontId="0" fillId="0" borderId="0" xfId="0"/>
    <xf numFmtId="0" fontId="27" fillId="15" borderId="0" xfId="0" applyFont="1" applyFill="1" applyAlignment="1">
      <alignment horizontal="center" vertical="center"/>
    </xf>
    <xf numFmtId="0" fontId="33" fillId="13" borderId="0" xfId="0" applyFont="1" applyFill="1" applyAlignment="1">
      <alignment horizontal="center" vertical="center"/>
    </xf>
    <xf numFmtId="0" fontId="35" fillId="15" borderId="0" xfId="0" applyFont="1" applyFill="1" applyAlignment="1">
      <alignment horizontal="center" vertical="center"/>
    </xf>
    <xf numFmtId="0" fontId="35" fillId="20" borderId="0" xfId="0" applyFont="1" applyFill="1" applyAlignment="1">
      <alignment horizontal="center" vertical="center"/>
    </xf>
    <xf numFmtId="0" fontId="34" fillId="14" borderId="0" xfId="0" applyFont="1" applyFill="1" applyAlignment="1">
      <alignment horizontal="center" vertical="center"/>
    </xf>
    <xf numFmtId="0" fontId="35" fillId="19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 wrapText="1" indent="1"/>
    </xf>
    <xf numFmtId="0" fontId="14" fillId="9" borderId="0" xfId="0" applyFont="1" applyFill="1" applyAlignment="1">
      <alignment horizontal="left" vertical="center" wrapText="1"/>
    </xf>
    <xf numFmtId="0" fontId="15" fillId="11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indent="1"/>
    </xf>
    <xf numFmtId="0" fontId="1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8" borderId="0" xfId="0" applyFill="1"/>
    <xf numFmtId="0" fontId="0" fillId="3" borderId="0" xfId="0" applyFill="1"/>
    <xf numFmtId="0" fontId="11" fillId="7" borderId="0" xfId="0" applyFont="1" applyFill="1" applyAlignment="1">
      <alignment horizontal="left" vertical="center" indent="1"/>
    </xf>
    <xf numFmtId="0" fontId="5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0" fillId="6" borderId="0" xfId="0" applyFill="1"/>
    <xf numFmtId="0" fontId="0" fillId="2" borderId="0" xfId="0" applyFill="1"/>
    <xf numFmtId="0" fontId="3" fillId="10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left" vertical="center"/>
    </xf>
    <xf numFmtId="49" fontId="23" fillId="12" borderId="0" xfId="0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vertical="center" wrapText="1"/>
    </xf>
    <xf numFmtId="0" fontId="22" fillId="1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4" fontId="23" fillId="3" borderId="0" xfId="0" applyNumberFormat="1" applyFont="1" applyFill="1" applyAlignment="1">
      <alignment horizontal="center" vertical="center"/>
    </xf>
    <xf numFmtId="4" fontId="23" fillId="2" borderId="0" xfId="0" applyNumberFormat="1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0" fontId="23" fillId="8" borderId="0" xfId="0" applyNumberFormat="1" applyFont="1" applyFill="1" applyAlignment="1">
      <alignment horizontal="center" vertical="center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D9D9D9"/>
      <rgbColor rgb="FFFFE7E7"/>
      <rgbColor rgb="FFCC99FF"/>
      <rgbColor rgb="FFFFC7CE"/>
      <rgbColor rgb="FF2E75B6"/>
      <rgbColor rgb="FF33CCCC"/>
      <rgbColor rgb="FF99CC00"/>
      <rgbColor rgb="FFFFD700"/>
      <rgbColor rgb="FFFFA5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CSE Close Price vs Moving Averages (LKR)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'🔬 ANALYSIS'!$C$5</c:f>
              <c:strCache>
                <c:ptCount val="1"/>
                <c:pt idx="0">
                  <c:v>Close (LKR)</c:v>
                </c:pt>
              </c:strCache>
            </c:strRef>
          </c:tx>
          <c:spPr>
            <a:ln w="15120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'🔬 ANALYSIS'!$C$6:$C$135</c:f>
              <c:numCache>
                <c:formatCode>#,##0.00</c:formatCode>
                <c:ptCount val="130"/>
                <c:pt idx="0">
                  <c:v>199.69</c:v>
                </c:pt>
                <c:pt idx="1">
                  <c:v>196.98</c:v>
                </c:pt>
                <c:pt idx="2">
                  <c:v>198.21</c:v>
                </c:pt>
                <c:pt idx="3">
                  <c:v>196.43</c:v>
                </c:pt>
                <c:pt idx="4">
                  <c:v>196.69</c:v>
                </c:pt>
                <c:pt idx="5">
                  <c:v>196.51</c:v>
                </c:pt>
                <c:pt idx="6">
                  <c:v>196.81</c:v>
                </c:pt>
                <c:pt idx="7">
                  <c:v>199.01</c:v>
                </c:pt>
                <c:pt idx="8">
                  <c:v>198.74</c:v>
                </c:pt>
                <c:pt idx="9">
                  <c:v>199.91</c:v>
                </c:pt>
                <c:pt idx="10">
                  <c:v>199.35</c:v>
                </c:pt>
                <c:pt idx="11">
                  <c:v>197.69</c:v>
                </c:pt>
                <c:pt idx="12">
                  <c:v>200.53</c:v>
                </c:pt>
                <c:pt idx="13">
                  <c:v>197.73</c:v>
                </c:pt>
                <c:pt idx="14">
                  <c:v>200.35</c:v>
                </c:pt>
                <c:pt idx="15">
                  <c:v>199.33</c:v>
                </c:pt>
                <c:pt idx="16">
                  <c:v>197.79</c:v>
                </c:pt>
                <c:pt idx="17">
                  <c:v>199.4</c:v>
                </c:pt>
                <c:pt idx="18">
                  <c:v>202.18</c:v>
                </c:pt>
                <c:pt idx="19">
                  <c:v>203.77</c:v>
                </c:pt>
                <c:pt idx="20">
                  <c:v>207.17</c:v>
                </c:pt>
                <c:pt idx="21">
                  <c:v>210.72</c:v>
                </c:pt>
                <c:pt idx="22">
                  <c:v>211.62</c:v>
                </c:pt>
                <c:pt idx="23">
                  <c:v>209.2</c:v>
                </c:pt>
                <c:pt idx="24">
                  <c:v>208.71</c:v>
                </c:pt>
                <c:pt idx="25">
                  <c:v>210.23</c:v>
                </c:pt>
                <c:pt idx="26">
                  <c:v>210.26</c:v>
                </c:pt>
                <c:pt idx="27">
                  <c:v>212.56</c:v>
                </c:pt>
                <c:pt idx="28">
                  <c:v>210.11</c:v>
                </c:pt>
                <c:pt idx="29">
                  <c:v>209.87</c:v>
                </c:pt>
                <c:pt idx="30">
                  <c:v>212.96</c:v>
                </c:pt>
                <c:pt idx="31">
                  <c:v>213.64</c:v>
                </c:pt>
                <c:pt idx="32">
                  <c:v>216.84</c:v>
                </c:pt>
                <c:pt idx="33">
                  <c:v>216.35</c:v>
                </c:pt>
                <c:pt idx="34">
                  <c:v>218.69</c:v>
                </c:pt>
                <c:pt idx="35">
                  <c:v>218.01</c:v>
                </c:pt>
                <c:pt idx="36">
                  <c:v>216.7</c:v>
                </c:pt>
                <c:pt idx="37">
                  <c:v>218.24</c:v>
                </c:pt>
                <c:pt idx="38">
                  <c:v>217.02</c:v>
                </c:pt>
                <c:pt idx="39">
                  <c:v>218.41</c:v>
                </c:pt>
                <c:pt idx="40">
                  <c:v>223.1</c:v>
                </c:pt>
                <c:pt idx="41">
                  <c:v>223.14</c:v>
                </c:pt>
                <c:pt idx="42">
                  <c:v>224.03</c:v>
                </c:pt>
                <c:pt idx="43">
                  <c:v>221.18</c:v>
                </c:pt>
                <c:pt idx="44">
                  <c:v>223.95</c:v>
                </c:pt>
                <c:pt idx="45">
                  <c:v>223.77</c:v>
                </c:pt>
                <c:pt idx="46">
                  <c:v>225.33</c:v>
                </c:pt>
                <c:pt idx="47">
                  <c:v>226.95</c:v>
                </c:pt>
                <c:pt idx="48">
                  <c:v>224.85</c:v>
                </c:pt>
                <c:pt idx="49">
                  <c:v>228.41</c:v>
                </c:pt>
                <c:pt idx="50">
                  <c:v>228</c:v>
                </c:pt>
                <c:pt idx="51">
                  <c:v>228.44</c:v>
                </c:pt>
                <c:pt idx="52">
                  <c:v>231</c:v>
                </c:pt>
                <c:pt idx="53">
                  <c:v>226.44</c:v>
                </c:pt>
                <c:pt idx="54">
                  <c:v>226.79</c:v>
                </c:pt>
                <c:pt idx="55">
                  <c:v>228.4</c:v>
                </c:pt>
                <c:pt idx="56">
                  <c:v>227.73</c:v>
                </c:pt>
                <c:pt idx="57">
                  <c:v>228.35</c:v>
                </c:pt>
                <c:pt idx="58">
                  <c:v>232.39</c:v>
                </c:pt>
                <c:pt idx="59">
                  <c:v>229.45</c:v>
                </c:pt>
                <c:pt idx="60">
                  <c:v>231.42</c:v>
                </c:pt>
                <c:pt idx="61">
                  <c:v>231.95</c:v>
                </c:pt>
                <c:pt idx="62">
                  <c:v>233.04</c:v>
                </c:pt>
                <c:pt idx="63">
                  <c:v>227.59</c:v>
                </c:pt>
                <c:pt idx="64">
                  <c:v>230.36</c:v>
                </c:pt>
                <c:pt idx="65">
                  <c:v>230.24</c:v>
                </c:pt>
                <c:pt idx="66">
                  <c:v>230.5</c:v>
                </c:pt>
                <c:pt idx="67">
                  <c:v>227.53</c:v>
                </c:pt>
                <c:pt idx="68">
                  <c:v>227.61</c:v>
                </c:pt>
                <c:pt idx="69">
                  <c:v>232.26</c:v>
                </c:pt>
                <c:pt idx="70">
                  <c:v>235.11</c:v>
                </c:pt>
                <c:pt idx="71">
                  <c:v>235.47</c:v>
                </c:pt>
                <c:pt idx="72">
                  <c:v>234.68</c:v>
                </c:pt>
                <c:pt idx="73">
                  <c:v>236.78</c:v>
                </c:pt>
                <c:pt idx="74">
                  <c:v>232.94</c:v>
                </c:pt>
                <c:pt idx="75">
                  <c:v>233.38</c:v>
                </c:pt>
                <c:pt idx="76">
                  <c:v>232.52</c:v>
                </c:pt>
                <c:pt idx="77">
                  <c:v>234.25</c:v>
                </c:pt>
                <c:pt idx="78">
                  <c:v>236.43</c:v>
                </c:pt>
                <c:pt idx="79">
                  <c:v>235.68</c:v>
                </c:pt>
                <c:pt idx="80">
                  <c:v>234.42</c:v>
                </c:pt>
                <c:pt idx="81">
                  <c:v>233.87</c:v>
                </c:pt>
                <c:pt idx="82">
                  <c:v>234.52</c:v>
                </c:pt>
                <c:pt idx="83">
                  <c:v>235.14</c:v>
                </c:pt>
                <c:pt idx="84">
                  <c:v>232.89</c:v>
                </c:pt>
                <c:pt idx="85">
                  <c:v>233</c:v>
                </c:pt>
                <c:pt idx="86">
                  <c:v>235.48</c:v>
                </c:pt>
                <c:pt idx="87">
                  <c:v>235.5</c:v>
                </c:pt>
                <c:pt idx="88">
                  <c:v>230.34</c:v>
                </c:pt>
                <c:pt idx="89">
                  <c:v>228.27</c:v>
                </c:pt>
                <c:pt idx="90">
                  <c:v>230.68</c:v>
                </c:pt>
                <c:pt idx="91">
                  <c:v>234.14</c:v>
                </c:pt>
                <c:pt idx="92">
                  <c:v>236.2</c:v>
                </c:pt>
                <c:pt idx="93">
                  <c:v>236.1</c:v>
                </c:pt>
                <c:pt idx="94">
                  <c:v>234.21</c:v>
                </c:pt>
                <c:pt idx="95">
                  <c:v>235.8</c:v>
                </c:pt>
                <c:pt idx="96">
                  <c:v>235.76</c:v>
                </c:pt>
                <c:pt idx="97">
                  <c:v>230.21</c:v>
                </c:pt>
                <c:pt idx="98">
                  <c:v>231.08</c:v>
                </c:pt>
                <c:pt idx="99">
                  <c:v>233.81</c:v>
                </c:pt>
                <c:pt idx="100">
                  <c:v>233.4</c:v>
                </c:pt>
                <c:pt idx="101">
                  <c:v>234.57</c:v>
                </c:pt>
                <c:pt idx="102">
                  <c:v>235.77</c:v>
                </c:pt>
                <c:pt idx="103">
                  <c:v>231.41</c:v>
                </c:pt>
                <c:pt idx="104">
                  <c:v>233.65</c:v>
                </c:pt>
                <c:pt idx="105">
                  <c:v>230.99</c:v>
                </c:pt>
                <c:pt idx="106">
                  <c:v>234.23</c:v>
                </c:pt>
                <c:pt idx="107">
                  <c:v>230.99</c:v>
                </c:pt>
                <c:pt idx="108">
                  <c:v>231.96</c:v>
                </c:pt>
                <c:pt idx="109">
                  <c:v>235.97</c:v>
                </c:pt>
                <c:pt idx="110">
                  <c:v>233.93</c:v>
                </c:pt>
                <c:pt idx="111">
                  <c:v>232.91</c:v>
                </c:pt>
                <c:pt idx="112">
                  <c:v>231.27</c:v>
                </c:pt>
                <c:pt idx="113">
                  <c:v>229.25</c:v>
                </c:pt>
                <c:pt idx="114">
                  <c:v>227.98</c:v>
                </c:pt>
                <c:pt idx="115">
                  <c:v>231.41</c:v>
                </c:pt>
                <c:pt idx="116">
                  <c:v>232.33</c:v>
                </c:pt>
                <c:pt idx="117">
                  <c:v>230.32</c:v>
                </c:pt>
                <c:pt idx="118">
                  <c:v>230.93</c:v>
                </c:pt>
                <c:pt idx="119">
                  <c:v>234.86</c:v>
                </c:pt>
                <c:pt idx="120">
                  <c:v>238.76</c:v>
                </c:pt>
                <c:pt idx="121">
                  <c:v>234.4</c:v>
                </c:pt>
                <c:pt idx="122">
                  <c:v>233.22</c:v>
                </c:pt>
                <c:pt idx="123">
                  <c:v>232.82</c:v>
                </c:pt>
                <c:pt idx="124">
                  <c:v>233.25</c:v>
                </c:pt>
                <c:pt idx="125">
                  <c:v>232.65</c:v>
                </c:pt>
                <c:pt idx="126">
                  <c:v>235.43</c:v>
                </c:pt>
                <c:pt idx="127">
                  <c:v>237.16</c:v>
                </c:pt>
                <c:pt idx="128">
                  <c:v>240.07</c:v>
                </c:pt>
                <c:pt idx="129">
                  <c:v>238.77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67-4A43-8FD2-7318AFED7BF5}"/>
            </c:ext>
          </c:extLst>
        </c:ser>
        <c:ser>
          <c:idx val="1"/>
          <c:order val="1"/>
          <c:tx>
            <c:strRef>
              <c:f>'🔬 ANALYSIS'!$E$5</c:f>
              <c:strCache>
                <c:ptCount val="1"/>
                <c:pt idx="0">
                  <c:v>7-Day MA</c:v>
                </c:pt>
              </c:strCache>
            </c:strRef>
          </c:tx>
          <c:spPr>
            <a:ln w="20160">
              <a:solidFill>
                <a:srgbClr val="FFA5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'🔬 ANALYSIS'!$E$6:$E$135</c:f>
              <c:numCache>
                <c:formatCode>#,##0.00</c:formatCode>
                <c:ptCount val="1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197.33142857142857</c:v>
                </c:pt>
                <c:pt idx="7">
                  <c:v>197.2342857142857</c:v>
                </c:pt>
                <c:pt idx="8">
                  <c:v>197.48571428571427</c:v>
                </c:pt>
                <c:pt idx="9">
                  <c:v>197.72857142857146</c:v>
                </c:pt>
                <c:pt idx="10">
                  <c:v>198.14571428571429</c:v>
                </c:pt>
                <c:pt idx="11">
                  <c:v>198.28857142857143</c:v>
                </c:pt>
                <c:pt idx="12">
                  <c:v>198.86285714285714</c:v>
                </c:pt>
                <c:pt idx="13">
                  <c:v>198.99428571428572</c:v>
                </c:pt>
                <c:pt idx="14">
                  <c:v>199.18571428571428</c:v>
                </c:pt>
                <c:pt idx="15">
                  <c:v>199.26999999999998</c:v>
                </c:pt>
                <c:pt idx="16">
                  <c:v>198.96714285714285</c:v>
                </c:pt>
                <c:pt idx="17">
                  <c:v>198.97428571428574</c:v>
                </c:pt>
                <c:pt idx="18">
                  <c:v>199.61571428571432</c:v>
                </c:pt>
                <c:pt idx="19">
                  <c:v>200.07857142857142</c:v>
                </c:pt>
                <c:pt idx="20">
                  <c:v>201.42714285714285</c:v>
                </c:pt>
                <c:pt idx="21">
                  <c:v>202.90857142857143</c:v>
                </c:pt>
                <c:pt idx="22">
                  <c:v>204.66428571428574</c:v>
                </c:pt>
                <c:pt idx="23">
                  <c:v>206.29428571428573</c:v>
                </c:pt>
                <c:pt idx="24">
                  <c:v>207.62428571428572</c:v>
                </c:pt>
                <c:pt idx="25">
                  <c:v>208.77428571428572</c:v>
                </c:pt>
                <c:pt idx="26">
                  <c:v>209.70142857142858</c:v>
                </c:pt>
                <c:pt idx="27">
                  <c:v>210.47142857142856</c:v>
                </c:pt>
                <c:pt idx="28">
                  <c:v>210.38428571428571</c:v>
                </c:pt>
                <c:pt idx="29">
                  <c:v>210.13428571428571</c:v>
                </c:pt>
                <c:pt idx="30">
                  <c:v>210.67142857142855</c:v>
                </c:pt>
                <c:pt idx="31">
                  <c:v>211.37571428571431</c:v>
                </c:pt>
                <c:pt idx="32">
                  <c:v>212.32</c:v>
                </c:pt>
                <c:pt idx="33">
                  <c:v>213.18999999999997</c:v>
                </c:pt>
                <c:pt idx="34">
                  <c:v>214.06571428571428</c:v>
                </c:pt>
                <c:pt idx="35">
                  <c:v>215.19428571428574</c:v>
                </c:pt>
                <c:pt idx="36">
                  <c:v>216.17000000000002</c:v>
                </c:pt>
                <c:pt idx="37">
                  <c:v>216.92428571428573</c:v>
                </c:pt>
                <c:pt idx="38">
                  <c:v>217.40714285714284</c:v>
                </c:pt>
                <c:pt idx="39">
                  <c:v>217.63142857142859</c:v>
                </c:pt>
                <c:pt idx="40">
                  <c:v>218.59571428571431</c:v>
                </c:pt>
                <c:pt idx="41">
                  <c:v>219.23142857142855</c:v>
                </c:pt>
                <c:pt idx="42">
                  <c:v>220.09142857142859</c:v>
                </c:pt>
                <c:pt idx="43">
                  <c:v>220.73142857142855</c:v>
                </c:pt>
                <c:pt idx="44">
                  <c:v>221.54714285714289</c:v>
                </c:pt>
                <c:pt idx="45">
                  <c:v>222.51142857142855</c:v>
                </c:pt>
                <c:pt idx="46">
                  <c:v>223.5</c:v>
                </c:pt>
                <c:pt idx="47">
                  <c:v>224.04999999999998</c:v>
                </c:pt>
                <c:pt idx="48">
                  <c:v>224.29428571428571</c:v>
                </c:pt>
                <c:pt idx="49">
                  <c:v>224.92000000000002</c:v>
                </c:pt>
                <c:pt idx="50">
                  <c:v>225.8942857142857</c:v>
                </c:pt>
                <c:pt idx="51">
                  <c:v>226.53571428571428</c:v>
                </c:pt>
                <c:pt idx="52">
                  <c:v>227.56857142857143</c:v>
                </c:pt>
                <c:pt idx="53">
                  <c:v>227.72714285714284</c:v>
                </c:pt>
                <c:pt idx="54">
                  <c:v>227.70428571428573</c:v>
                </c:pt>
                <c:pt idx="55">
                  <c:v>228.21142857142857</c:v>
                </c:pt>
                <c:pt idx="56">
                  <c:v>228.11428571428573</c:v>
                </c:pt>
                <c:pt idx="57">
                  <c:v>228.16428571428568</c:v>
                </c:pt>
                <c:pt idx="58">
                  <c:v>228.72857142857143</c:v>
                </c:pt>
                <c:pt idx="59">
                  <c:v>228.50714285714284</c:v>
                </c:pt>
                <c:pt idx="60">
                  <c:v>229.21857142857144</c:v>
                </c:pt>
                <c:pt idx="61">
                  <c:v>229.95571428571429</c:v>
                </c:pt>
                <c:pt idx="62">
                  <c:v>230.61857142857144</c:v>
                </c:pt>
                <c:pt idx="63">
                  <c:v>230.5985714285714</c:v>
                </c:pt>
                <c:pt idx="64">
                  <c:v>230.88571428571427</c:v>
                </c:pt>
                <c:pt idx="65">
                  <c:v>230.57857142857142</c:v>
                </c:pt>
                <c:pt idx="66">
                  <c:v>230.72857142857146</c:v>
                </c:pt>
                <c:pt idx="67">
                  <c:v>230.17285714285714</c:v>
                </c:pt>
                <c:pt idx="68">
                  <c:v>229.55285714285714</c:v>
                </c:pt>
                <c:pt idx="69">
                  <c:v>229.44142857142856</c:v>
                </c:pt>
                <c:pt idx="70">
                  <c:v>230.5157142857143</c:v>
                </c:pt>
                <c:pt idx="71">
                  <c:v>231.24571428571429</c:v>
                </c:pt>
                <c:pt idx="72">
                  <c:v>231.88000000000002</c:v>
                </c:pt>
                <c:pt idx="73">
                  <c:v>232.77714285714288</c:v>
                </c:pt>
                <c:pt idx="74">
                  <c:v>233.55</c:v>
                </c:pt>
                <c:pt idx="75">
                  <c:v>234.37428571428569</c:v>
                </c:pt>
                <c:pt idx="76">
                  <c:v>234.41142857142859</c:v>
                </c:pt>
                <c:pt idx="77">
                  <c:v>234.28857142857143</c:v>
                </c:pt>
                <c:pt idx="78">
                  <c:v>234.42571428571432</c:v>
                </c:pt>
                <c:pt idx="79">
                  <c:v>234.56857142857143</c:v>
                </c:pt>
                <c:pt idx="80">
                  <c:v>234.23142857142858</c:v>
                </c:pt>
                <c:pt idx="81">
                  <c:v>234.36428571428573</c:v>
                </c:pt>
                <c:pt idx="82">
                  <c:v>234.52714285714288</c:v>
                </c:pt>
                <c:pt idx="83">
                  <c:v>234.90142857142857</c:v>
                </c:pt>
                <c:pt idx="84">
                  <c:v>234.70714285714283</c:v>
                </c:pt>
                <c:pt idx="85">
                  <c:v>234.21714285714285</c:v>
                </c:pt>
                <c:pt idx="86">
                  <c:v>234.18857142857141</c:v>
                </c:pt>
                <c:pt idx="87">
                  <c:v>234.34285714285716</c:v>
                </c:pt>
                <c:pt idx="88">
                  <c:v>233.83857142857141</c:v>
                </c:pt>
                <c:pt idx="89">
                  <c:v>232.94571428571427</c:v>
                </c:pt>
                <c:pt idx="90">
                  <c:v>232.30857142857144</c:v>
                </c:pt>
                <c:pt idx="91">
                  <c:v>232.48714285714291</c:v>
                </c:pt>
                <c:pt idx="92">
                  <c:v>232.94428571428571</c:v>
                </c:pt>
                <c:pt idx="93">
                  <c:v>233.03285714285713</c:v>
                </c:pt>
                <c:pt idx="94">
                  <c:v>232.8485714285714</c:v>
                </c:pt>
                <c:pt idx="95">
                  <c:v>233.62857142857141</c:v>
                </c:pt>
                <c:pt idx="96">
                  <c:v>234.6985714285714</c:v>
                </c:pt>
                <c:pt idx="97">
                  <c:v>234.63142857142859</c:v>
                </c:pt>
                <c:pt idx="98">
                  <c:v>234.19428571428571</c:v>
                </c:pt>
                <c:pt idx="99">
                  <c:v>233.85285714285712</c:v>
                </c:pt>
                <c:pt idx="100">
                  <c:v>233.46714285714285</c:v>
                </c:pt>
                <c:pt idx="101">
                  <c:v>233.51857142857145</c:v>
                </c:pt>
                <c:pt idx="102">
                  <c:v>233.51428571428573</c:v>
                </c:pt>
                <c:pt idx="103">
                  <c:v>232.89285714285714</c:v>
                </c:pt>
                <c:pt idx="104">
                  <c:v>233.38428571428571</c:v>
                </c:pt>
                <c:pt idx="105">
                  <c:v>233.37142857142859</c:v>
                </c:pt>
                <c:pt idx="106">
                  <c:v>233.43142857142857</c:v>
                </c:pt>
                <c:pt idx="107">
                  <c:v>233.08714285714285</c:v>
                </c:pt>
                <c:pt idx="108">
                  <c:v>232.71428571428572</c:v>
                </c:pt>
                <c:pt idx="109">
                  <c:v>232.74285714285716</c:v>
                </c:pt>
                <c:pt idx="110">
                  <c:v>233.10285714285715</c:v>
                </c:pt>
                <c:pt idx="111">
                  <c:v>232.9971428571429</c:v>
                </c:pt>
                <c:pt idx="112">
                  <c:v>233.0371428571429</c:v>
                </c:pt>
                <c:pt idx="113">
                  <c:v>232.32571428571433</c:v>
                </c:pt>
                <c:pt idx="114">
                  <c:v>231.89571428571429</c:v>
                </c:pt>
                <c:pt idx="115">
                  <c:v>231.81714285714287</c:v>
                </c:pt>
                <c:pt idx="116">
                  <c:v>231.29714285714286</c:v>
                </c:pt>
                <c:pt idx="117">
                  <c:v>230.78142857142856</c:v>
                </c:pt>
                <c:pt idx="118">
                  <c:v>230.49857142857144</c:v>
                </c:pt>
                <c:pt idx="119">
                  <c:v>231.01142857142855</c:v>
                </c:pt>
                <c:pt idx="120">
                  <c:v>232.36999999999998</c:v>
                </c:pt>
                <c:pt idx="121">
                  <c:v>233.28714285714287</c:v>
                </c:pt>
                <c:pt idx="122">
                  <c:v>233.54571428571427</c:v>
                </c:pt>
                <c:pt idx="123">
                  <c:v>233.61571428571429</c:v>
                </c:pt>
                <c:pt idx="124">
                  <c:v>234.03428571428569</c:v>
                </c:pt>
                <c:pt idx="125">
                  <c:v>234.28</c:v>
                </c:pt>
                <c:pt idx="126">
                  <c:v>234.3614285714286</c:v>
                </c:pt>
                <c:pt idx="127">
                  <c:v>234.13285714285718</c:v>
                </c:pt>
                <c:pt idx="128">
                  <c:v>234.94285714285712</c:v>
                </c:pt>
                <c:pt idx="129">
                  <c:v>235.73571428571429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F67-4A43-8FD2-7318AFED7BF5}"/>
            </c:ext>
          </c:extLst>
        </c:ser>
        <c:ser>
          <c:idx val="2"/>
          <c:order val="2"/>
          <c:tx>
            <c:strRef>
              <c:f>'🔬 ANALYSIS'!$F$5</c:f>
              <c:strCache>
                <c:ptCount val="1"/>
                <c:pt idx="0">
                  <c:v>20-Day MA</c:v>
                </c:pt>
              </c:strCache>
            </c:strRef>
          </c:tx>
          <c:spPr>
            <a:ln w="20160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'🔬 ANALYSIS'!$F$6:$F$135</c:f>
              <c:numCache>
                <c:formatCode>#,##0.00</c:formatCode>
                <c:ptCount val="130"/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198.85499999999999</c:v>
                </c:pt>
                <c:pt idx="20">
                  <c:v>199.22899999999998</c:v>
                </c:pt>
                <c:pt idx="21">
                  <c:v>199.916</c:v>
                </c:pt>
                <c:pt idx="22">
                  <c:v>200.58649999999997</c:v>
                </c:pt>
                <c:pt idx="23">
                  <c:v>201.22499999999997</c:v>
                </c:pt>
                <c:pt idx="24">
                  <c:v>201.82599999999996</c:v>
                </c:pt>
                <c:pt idx="25">
                  <c:v>202.51199999999997</c:v>
                </c:pt>
                <c:pt idx="26">
                  <c:v>203.18449999999999</c:v>
                </c:pt>
                <c:pt idx="27">
                  <c:v>203.86199999999997</c:v>
                </c:pt>
                <c:pt idx="28">
                  <c:v>204.43049999999999</c:v>
                </c:pt>
                <c:pt idx="29">
                  <c:v>204.92849999999999</c:v>
                </c:pt>
                <c:pt idx="30">
                  <c:v>205.60900000000001</c:v>
                </c:pt>
                <c:pt idx="31">
                  <c:v>206.40649999999999</c:v>
                </c:pt>
                <c:pt idx="32">
                  <c:v>207.22199999999998</c:v>
                </c:pt>
                <c:pt idx="33">
                  <c:v>208.15299999999996</c:v>
                </c:pt>
                <c:pt idx="34">
                  <c:v>209.07</c:v>
                </c:pt>
                <c:pt idx="35">
                  <c:v>210.00399999999999</c:v>
                </c:pt>
                <c:pt idx="36">
                  <c:v>210.9495</c:v>
                </c:pt>
                <c:pt idx="37">
                  <c:v>211.89150000000001</c:v>
                </c:pt>
                <c:pt idx="38">
                  <c:v>212.6335</c:v>
                </c:pt>
                <c:pt idx="39">
                  <c:v>213.36549999999997</c:v>
                </c:pt>
                <c:pt idx="40">
                  <c:v>214.16199999999995</c:v>
                </c:pt>
                <c:pt idx="41">
                  <c:v>214.78299999999999</c:v>
                </c:pt>
                <c:pt idx="42">
                  <c:v>215.40349999999998</c:v>
                </c:pt>
                <c:pt idx="43">
                  <c:v>216.00249999999997</c:v>
                </c:pt>
                <c:pt idx="44">
                  <c:v>216.76449999999994</c:v>
                </c:pt>
                <c:pt idx="45">
                  <c:v>217.44149999999999</c:v>
                </c:pt>
                <c:pt idx="46">
                  <c:v>218.19499999999994</c:v>
                </c:pt>
                <c:pt idx="47">
                  <c:v>218.91449999999995</c:v>
                </c:pt>
                <c:pt idx="48">
                  <c:v>219.6515</c:v>
                </c:pt>
                <c:pt idx="49">
                  <c:v>220.57849999999999</c:v>
                </c:pt>
                <c:pt idx="50">
                  <c:v>221.33049999999997</c:v>
                </c:pt>
                <c:pt idx="51">
                  <c:v>222.07049999999995</c:v>
                </c:pt>
                <c:pt idx="52">
                  <c:v>222.77849999999995</c:v>
                </c:pt>
                <c:pt idx="53">
                  <c:v>223.28299999999996</c:v>
                </c:pt>
                <c:pt idx="54">
                  <c:v>223.68799999999996</c:v>
                </c:pt>
                <c:pt idx="55">
                  <c:v>224.20749999999998</c:v>
                </c:pt>
                <c:pt idx="56">
                  <c:v>224.75899999999996</c:v>
                </c:pt>
                <c:pt idx="57">
                  <c:v>225.2645</c:v>
                </c:pt>
                <c:pt idx="58">
                  <c:v>226.03300000000004</c:v>
                </c:pt>
                <c:pt idx="59">
                  <c:v>226.58499999999998</c:v>
                </c:pt>
                <c:pt idx="60">
                  <c:v>227.00099999999998</c:v>
                </c:pt>
                <c:pt idx="61">
                  <c:v>227.44149999999996</c:v>
                </c:pt>
                <c:pt idx="62">
                  <c:v>227.892</c:v>
                </c:pt>
                <c:pt idx="63">
                  <c:v>228.21250000000001</c:v>
                </c:pt>
                <c:pt idx="64">
                  <c:v>228.53299999999999</c:v>
                </c:pt>
                <c:pt idx="65">
                  <c:v>228.85649999999995</c:v>
                </c:pt>
                <c:pt idx="66">
                  <c:v>229.11499999999995</c:v>
                </c:pt>
                <c:pt idx="67">
                  <c:v>229.14399999999995</c:v>
                </c:pt>
                <c:pt idx="68">
                  <c:v>229.28199999999998</c:v>
                </c:pt>
                <c:pt idx="69">
                  <c:v>229.47449999999998</c:v>
                </c:pt>
                <c:pt idx="70">
                  <c:v>229.83</c:v>
                </c:pt>
                <c:pt idx="71">
                  <c:v>230.1815</c:v>
                </c:pt>
                <c:pt idx="72">
                  <c:v>230.36550000000005</c:v>
                </c:pt>
                <c:pt idx="73">
                  <c:v>230.88250000000002</c:v>
                </c:pt>
                <c:pt idx="74">
                  <c:v>231.19</c:v>
                </c:pt>
                <c:pt idx="75">
                  <c:v>231.43900000000002</c:v>
                </c:pt>
                <c:pt idx="76">
                  <c:v>231.67850000000004</c:v>
                </c:pt>
                <c:pt idx="77">
                  <c:v>231.9735</c:v>
                </c:pt>
                <c:pt idx="78">
                  <c:v>232.1755</c:v>
                </c:pt>
                <c:pt idx="79">
                  <c:v>232.48700000000002</c:v>
                </c:pt>
                <c:pt idx="80">
                  <c:v>232.63700000000003</c:v>
                </c:pt>
                <c:pt idx="81">
                  <c:v>232.733</c:v>
                </c:pt>
                <c:pt idx="82">
                  <c:v>232.80699999999996</c:v>
                </c:pt>
                <c:pt idx="83">
                  <c:v>233.18450000000007</c:v>
                </c:pt>
                <c:pt idx="84">
                  <c:v>233.31100000000006</c:v>
                </c:pt>
                <c:pt idx="85">
                  <c:v>233.44900000000001</c:v>
                </c:pt>
                <c:pt idx="86">
                  <c:v>233.69799999999995</c:v>
                </c:pt>
                <c:pt idx="87">
                  <c:v>234.09649999999993</c:v>
                </c:pt>
                <c:pt idx="88">
                  <c:v>234.23299999999995</c:v>
                </c:pt>
                <c:pt idx="89">
                  <c:v>234.0335</c:v>
                </c:pt>
                <c:pt idx="90">
                  <c:v>233.81200000000004</c:v>
                </c:pt>
                <c:pt idx="91">
                  <c:v>233.74550000000005</c:v>
                </c:pt>
                <c:pt idx="92">
                  <c:v>233.82150000000001</c:v>
                </c:pt>
                <c:pt idx="93">
                  <c:v>233.78749999999999</c:v>
                </c:pt>
                <c:pt idx="94">
                  <c:v>233.85100000000003</c:v>
                </c:pt>
                <c:pt idx="95">
                  <c:v>233.97199999999998</c:v>
                </c:pt>
                <c:pt idx="96">
                  <c:v>234.13399999999996</c:v>
                </c:pt>
                <c:pt idx="97">
                  <c:v>233.93199999999996</c:v>
                </c:pt>
                <c:pt idx="98">
                  <c:v>233.6645</c:v>
                </c:pt>
                <c:pt idx="99">
                  <c:v>233.571</c:v>
                </c:pt>
                <c:pt idx="100">
                  <c:v>233.51999999999998</c:v>
                </c:pt>
                <c:pt idx="101">
                  <c:v>233.55499999999998</c:v>
                </c:pt>
                <c:pt idx="102">
                  <c:v>233.61750000000001</c:v>
                </c:pt>
                <c:pt idx="103">
                  <c:v>233.43099999999998</c:v>
                </c:pt>
                <c:pt idx="104">
                  <c:v>233.46899999999999</c:v>
                </c:pt>
                <c:pt idx="105">
                  <c:v>233.36849999999995</c:v>
                </c:pt>
                <c:pt idx="106">
                  <c:v>233.30599999999995</c:v>
                </c:pt>
                <c:pt idx="107">
                  <c:v>233.08049999999997</c:v>
                </c:pt>
                <c:pt idx="108">
                  <c:v>233.16149999999999</c:v>
                </c:pt>
                <c:pt idx="109">
                  <c:v>233.54650000000001</c:v>
                </c:pt>
                <c:pt idx="110">
                  <c:v>233.70900000000006</c:v>
                </c:pt>
                <c:pt idx="111">
                  <c:v>233.64750000000004</c:v>
                </c:pt>
                <c:pt idx="112">
                  <c:v>233.40100000000001</c:v>
                </c:pt>
                <c:pt idx="113">
                  <c:v>233.05850000000001</c:v>
                </c:pt>
                <c:pt idx="114">
                  <c:v>232.74699999999999</c:v>
                </c:pt>
                <c:pt idx="115">
                  <c:v>232.52749999999997</c:v>
                </c:pt>
                <c:pt idx="116">
                  <c:v>232.35599999999999</c:v>
                </c:pt>
                <c:pt idx="117">
                  <c:v>232.36149999999992</c:v>
                </c:pt>
                <c:pt idx="118">
                  <c:v>232.35399999999998</c:v>
                </c:pt>
                <c:pt idx="119">
                  <c:v>232.40649999999997</c:v>
                </c:pt>
                <c:pt idx="120">
                  <c:v>232.67449999999999</c:v>
                </c:pt>
                <c:pt idx="121">
                  <c:v>232.666</c:v>
                </c:pt>
                <c:pt idx="122">
                  <c:v>232.53849999999997</c:v>
                </c:pt>
                <c:pt idx="123">
                  <c:v>232.60899999999998</c:v>
                </c:pt>
                <c:pt idx="124">
                  <c:v>232.589</c:v>
                </c:pt>
                <c:pt idx="125">
                  <c:v>232.67199999999997</c:v>
                </c:pt>
                <c:pt idx="126">
                  <c:v>232.73199999999997</c:v>
                </c:pt>
                <c:pt idx="127">
                  <c:v>233.04050000000001</c:v>
                </c:pt>
                <c:pt idx="128">
                  <c:v>233.446</c:v>
                </c:pt>
                <c:pt idx="129">
                  <c:v>233.58600000000001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F67-4A43-8FD2-7318AFED7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3190557"/>
        <c:axId val="80363029"/>
      </c:lineChart>
      <c:catAx>
        <c:axId val="431905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Trading Days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363029"/>
        <c:crosses val="autoZero"/>
        <c:auto val="1"/>
        <c:lblAlgn val="ctr"/>
        <c:lblOffset val="100"/>
        <c:noMultiLvlLbl val="0"/>
      </c:catAx>
      <c:valAx>
        <c:axId val="803630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Price (LKR)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19055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Daily Return %  —  COMB.N0000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'🔬 ANALYSIS'!$D$5</c:f>
              <c:strCache>
                <c:ptCount val="1"/>
                <c:pt idx="0">
                  <c:v>Daily Return %</c:v>
                </c:pt>
              </c:strCache>
            </c:strRef>
          </c:tx>
          <c:spPr>
            <a:ln w="12960">
              <a:solidFill>
                <a:srgbClr val="70AD4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'🔬 ANALYSIS'!$D$6:$D$135</c:f>
              <c:numCache>
                <c:formatCode>0.00%</c:formatCode>
                <c:ptCount val="130"/>
                <c:pt idx="0">
                  <c:v>0</c:v>
                </c:pt>
                <c:pt idx="1">
                  <c:v>-1.3571035104411933E-2</c:v>
                </c:pt>
                <c:pt idx="2">
                  <c:v>6.2442887602802699E-3</c:v>
                </c:pt>
                <c:pt idx="3">
                  <c:v>-8.9803743504364153E-3</c:v>
                </c:pt>
                <c:pt idx="4">
                  <c:v>1.323626737260053E-3</c:v>
                </c:pt>
                <c:pt idx="5">
                  <c:v>-9.1514566068440217E-4</c:v>
                </c:pt>
                <c:pt idx="6">
                  <c:v>1.5266398656557101E-3</c:v>
                </c:pt>
                <c:pt idx="7">
                  <c:v>1.1178293785884863E-2</c:v>
                </c:pt>
                <c:pt idx="8">
                  <c:v>-1.3567157429273946E-3</c:v>
                </c:pt>
                <c:pt idx="9">
                  <c:v>5.8870886585487003E-3</c:v>
                </c:pt>
                <c:pt idx="10">
                  <c:v>-2.8012605672552704E-3</c:v>
                </c:pt>
                <c:pt idx="11">
                  <c:v>-8.3270629546023933E-3</c:v>
                </c:pt>
                <c:pt idx="12">
                  <c:v>1.4365926450503386E-2</c:v>
                </c:pt>
                <c:pt idx="13">
                  <c:v>-1.3962998055153886E-2</c:v>
                </c:pt>
                <c:pt idx="14">
                  <c:v>1.325039194861688E-2</c:v>
                </c:pt>
                <c:pt idx="15">
                  <c:v>-5.0910905914648419E-3</c:v>
                </c:pt>
                <c:pt idx="16">
                  <c:v>-7.7258817037074712E-3</c:v>
                </c:pt>
                <c:pt idx="17">
                  <c:v>8.1399464078062422E-3</c:v>
                </c:pt>
                <c:pt idx="18">
                  <c:v>1.3941825476429193E-2</c:v>
                </c:pt>
                <c:pt idx="19">
                  <c:v>7.8642793550300905E-3</c:v>
                </c:pt>
                <c:pt idx="20">
                  <c:v>1.6685478726014447E-2</c:v>
                </c:pt>
                <c:pt idx="21">
                  <c:v>1.7135685668774547E-2</c:v>
                </c:pt>
                <c:pt idx="22">
                  <c:v>4.2710706150341782E-3</c:v>
                </c:pt>
                <c:pt idx="23">
                  <c:v>-1.1435592099045544E-2</c:v>
                </c:pt>
                <c:pt idx="24">
                  <c:v>-2.3422562141490744E-3</c:v>
                </c:pt>
                <c:pt idx="25">
                  <c:v>7.2828326385894204E-3</c:v>
                </c:pt>
                <c:pt idx="26">
                  <c:v>1.4270085144851841E-4</c:v>
                </c:pt>
                <c:pt idx="27">
                  <c:v>1.0938837629601572E-2</c:v>
                </c:pt>
                <c:pt idx="28">
                  <c:v>-1.1526157320285946E-2</c:v>
                </c:pt>
                <c:pt idx="29">
                  <c:v>-1.1422588168102932E-3</c:v>
                </c:pt>
                <c:pt idx="30">
                  <c:v>1.4723400200123971E-2</c:v>
                </c:pt>
                <c:pt idx="31">
                  <c:v>3.1930879038315485E-3</c:v>
                </c:pt>
                <c:pt idx="32">
                  <c:v>1.4978468451601001E-2</c:v>
                </c:pt>
                <c:pt idx="33">
                  <c:v>-2.2597306769969183E-3</c:v>
                </c:pt>
                <c:pt idx="34">
                  <c:v>1.0815807718973947E-2</c:v>
                </c:pt>
                <c:pt idx="35">
                  <c:v>-3.1094242992364407E-3</c:v>
                </c:pt>
                <c:pt idx="36">
                  <c:v>-6.0088986743727091E-3</c:v>
                </c:pt>
                <c:pt idx="37">
                  <c:v>7.1065989847716171E-3</c:v>
                </c:pt>
                <c:pt idx="38">
                  <c:v>-5.5901759530792017E-3</c:v>
                </c:pt>
                <c:pt idx="39">
                  <c:v>6.404939636899698E-3</c:v>
                </c:pt>
                <c:pt idx="40">
                  <c:v>2.1473375761183133E-2</c:v>
                </c:pt>
                <c:pt idx="41">
                  <c:v>1.7929179740017176E-4</c:v>
                </c:pt>
                <c:pt idx="42">
                  <c:v>3.9885273819126876E-3</c:v>
                </c:pt>
                <c:pt idx="43">
                  <c:v>-1.2721510511985001E-2</c:v>
                </c:pt>
                <c:pt idx="44">
                  <c:v>1.2523736323356349E-2</c:v>
                </c:pt>
                <c:pt idx="45">
                  <c:v>-8.037508372403801E-4</c:v>
                </c:pt>
                <c:pt idx="46">
                  <c:v>6.9714438932833023E-3</c:v>
                </c:pt>
                <c:pt idx="47">
                  <c:v>7.1894554653173515E-3</c:v>
                </c:pt>
                <c:pt idx="48">
                  <c:v>-9.2531394580304127E-3</c:v>
                </c:pt>
                <c:pt idx="49">
                  <c:v>1.583277740716027E-2</c:v>
                </c:pt>
                <c:pt idx="50">
                  <c:v>-1.7950177312726634E-3</c:v>
                </c:pt>
                <c:pt idx="51">
                  <c:v>1.9298245614034482E-3</c:v>
                </c:pt>
                <c:pt idx="52">
                  <c:v>1.1206443705130464E-2</c:v>
                </c:pt>
                <c:pt idx="53">
                  <c:v>-1.9740259740259725E-2</c:v>
                </c:pt>
                <c:pt idx="54">
                  <c:v>1.5456633103692052E-3</c:v>
                </c:pt>
                <c:pt idx="55">
                  <c:v>7.09907844261215E-3</c:v>
                </c:pt>
                <c:pt idx="56">
                  <c:v>-2.9334500875657366E-3</c:v>
                </c:pt>
                <c:pt idx="57">
                  <c:v>2.7225222851623432E-3</c:v>
                </c:pt>
                <c:pt idx="58">
                  <c:v>1.7692139259908091E-2</c:v>
                </c:pt>
                <c:pt idx="59">
                  <c:v>-1.265114677912127E-2</c:v>
                </c:pt>
                <c:pt idx="60">
                  <c:v>8.5857485290912194E-3</c:v>
                </c:pt>
                <c:pt idx="61">
                  <c:v>2.2902082793190282E-3</c:v>
                </c:pt>
                <c:pt idx="62">
                  <c:v>4.6992886397929645E-3</c:v>
                </c:pt>
                <c:pt idx="63">
                  <c:v>-2.338654308273258E-2</c:v>
                </c:pt>
                <c:pt idx="64">
                  <c:v>1.2171009271057631E-2</c:v>
                </c:pt>
                <c:pt idx="65">
                  <c:v>-5.2092377148815761E-4</c:v>
                </c:pt>
                <c:pt idx="66">
                  <c:v>1.1292564280749318E-3</c:v>
                </c:pt>
                <c:pt idx="67">
                  <c:v>-1.2885032537960917E-2</c:v>
                </c:pt>
                <c:pt idx="68">
                  <c:v>3.5160198655126429E-4</c:v>
                </c:pt>
                <c:pt idx="69">
                  <c:v>2.0429682351390532E-2</c:v>
                </c:pt>
                <c:pt idx="70">
                  <c:v>1.2270731077241193E-2</c:v>
                </c:pt>
                <c:pt idx="71">
                  <c:v>1.5311981625620863E-3</c:v>
                </c:pt>
                <c:pt idx="72">
                  <c:v>-3.3549921433727592E-3</c:v>
                </c:pt>
                <c:pt idx="73">
                  <c:v>8.9483552070905858E-3</c:v>
                </c:pt>
                <c:pt idx="74">
                  <c:v>-1.6217585944758861E-2</c:v>
                </c:pt>
                <c:pt idx="75">
                  <c:v>1.8888984287799282E-3</c:v>
                </c:pt>
                <c:pt idx="76">
                  <c:v>-3.6849772902561861E-3</c:v>
                </c:pt>
                <c:pt idx="77">
                  <c:v>7.4402201961121239E-3</c:v>
                </c:pt>
                <c:pt idx="78">
                  <c:v>9.3062966915689049E-3</c:v>
                </c:pt>
                <c:pt idx="79">
                  <c:v>-3.1721862707778659E-3</c:v>
                </c:pt>
                <c:pt idx="80">
                  <c:v>-5.3462321792261402E-3</c:v>
                </c:pt>
                <c:pt idx="81">
                  <c:v>-2.3462161931575576E-3</c:v>
                </c:pt>
                <c:pt idx="82">
                  <c:v>2.7793218454696955E-3</c:v>
                </c:pt>
                <c:pt idx="83">
                  <c:v>2.6436977656489891E-3</c:v>
                </c:pt>
                <c:pt idx="84">
                  <c:v>-9.5687675427404972E-3</c:v>
                </c:pt>
                <c:pt idx="85">
                  <c:v>4.7232599081126203E-4</c:v>
                </c:pt>
                <c:pt idx="86">
                  <c:v>1.064377682403439E-2</c:v>
                </c:pt>
                <c:pt idx="87">
                  <c:v>8.493290300659595E-5</c:v>
                </c:pt>
                <c:pt idx="88">
                  <c:v>-2.1910828025477724E-2</c:v>
                </c:pt>
                <c:pt idx="89">
                  <c:v>-8.9867152904401504E-3</c:v>
                </c:pt>
                <c:pt idx="90">
                  <c:v>1.0557672931178042E-2</c:v>
                </c:pt>
                <c:pt idx="91">
                  <c:v>1.4999132998092524E-2</c:v>
                </c:pt>
                <c:pt idx="92">
                  <c:v>8.7981549500300016E-3</c:v>
                </c:pt>
                <c:pt idx="93">
                  <c:v>-4.2337002540215884E-4</c:v>
                </c:pt>
                <c:pt idx="94">
                  <c:v>-8.0050825921219593E-3</c:v>
                </c:pt>
                <c:pt idx="95">
                  <c:v>6.7887793006276009E-3</c:v>
                </c:pt>
                <c:pt idx="96">
                  <c:v>-1.6963528413915796E-4</c:v>
                </c:pt>
                <c:pt idx="97">
                  <c:v>-2.3540889039701307E-2</c:v>
                </c:pt>
                <c:pt idx="98">
                  <c:v>3.7791581599408985E-3</c:v>
                </c:pt>
                <c:pt idx="99">
                  <c:v>1.1814090358317486E-2</c:v>
                </c:pt>
                <c:pt idx="100">
                  <c:v>-1.7535605833796097E-3</c:v>
                </c:pt>
                <c:pt idx="101">
                  <c:v>5.0128534704370065E-3</c:v>
                </c:pt>
                <c:pt idx="102">
                  <c:v>5.1157437012405715E-3</c:v>
                </c:pt>
                <c:pt idx="103">
                  <c:v>-1.8492598719090703E-2</c:v>
                </c:pt>
                <c:pt idx="104">
                  <c:v>9.6797891188800111E-3</c:v>
                </c:pt>
                <c:pt idx="105">
                  <c:v>-1.1384549539910083E-2</c:v>
                </c:pt>
                <c:pt idx="106">
                  <c:v>1.4026581237282842E-2</c:v>
                </c:pt>
                <c:pt idx="107">
                  <c:v>-1.3832557742389895E-2</c:v>
                </c:pt>
                <c:pt idx="108">
                  <c:v>4.1993159877051767E-3</c:v>
                </c:pt>
                <c:pt idx="109">
                  <c:v>1.7287463355750932E-2</c:v>
                </c:pt>
                <c:pt idx="110">
                  <c:v>-8.6451667584862557E-3</c:v>
                </c:pt>
                <c:pt idx="111">
                  <c:v>-4.3602787158552037E-3</c:v>
                </c:pt>
                <c:pt idx="112">
                  <c:v>-7.0413464428319417E-3</c:v>
                </c:pt>
                <c:pt idx="113">
                  <c:v>-8.7343797293207848E-3</c:v>
                </c:pt>
                <c:pt idx="114">
                  <c:v>-5.5398037077426521E-3</c:v>
                </c:pt>
                <c:pt idx="115">
                  <c:v>1.5045179401701914E-2</c:v>
                </c:pt>
                <c:pt idx="116">
                  <c:v>3.9756276738256435E-3</c:v>
                </c:pt>
                <c:pt idx="117">
                  <c:v>-8.6514871088538836E-3</c:v>
                </c:pt>
                <c:pt idx="118">
                  <c:v>2.6484890587010756E-3</c:v>
                </c:pt>
                <c:pt idx="119">
                  <c:v>1.7018144026328397E-2</c:v>
                </c:pt>
                <c:pt idx="120">
                  <c:v>1.6605637401004847E-2</c:v>
                </c:pt>
                <c:pt idx="121">
                  <c:v>-1.8261015245434664E-2</c:v>
                </c:pt>
                <c:pt idx="122">
                  <c:v>-5.0341296928327894E-3</c:v>
                </c:pt>
                <c:pt idx="123">
                  <c:v>-1.7151187719749439E-3</c:v>
                </c:pt>
                <c:pt idx="124">
                  <c:v>1.8469203676660939E-3</c:v>
                </c:pt>
                <c:pt idx="125">
                  <c:v>-2.5723472668810476E-3</c:v>
                </c:pt>
                <c:pt idx="126">
                  <c:v>1.1949280034386334E-2</c:v>
                </c:pt>
                <c:pt idx="127">
                  <c:v>7.3482563819393665E-3</c:v>
                </c:pt>
                <c:pt idx="128">
                  <c:v>1.227019733513246E-2</c:v>
                </c:pt>
                <c:pt idx="129">
                  <c:v>-5.4150872662139804E-3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FE-45B2-9A1A-2106A7700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4761738"/>
        <c:axId val="7886541"/>
      </c:lineChart>
      <c:catAx>
        <c:axId val="747617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86541"/>
        <c:crosses val="autoZero"/>
        <c:auto val="1"/>
        <c:lblAlgn val="ctr"/>
        <c:lblOffset val="100"/>
        <c:noMultiLvlLbl val="0"/>
      </c:catAx>
      <c:valAx>
        <c:axId val="78865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Return %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76173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31</xdr:col>
      <xdr:colOff>240480</xdr:colOff>
      <xdr:row>32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32</xdr:col>
      <xdr:colOff>136070</xdr:colOff>
      <xdr:row>8</xdr:row>
      <xdr:rowOff>27214</xdr:rowOff>
    </xdr:from>
    <xdr:to>
      <xdr:col>46</xdr:col>
      <xdr:colOff>136722</xdr:colOff>
      <xdr:row>32</xdr:row>
      <xdr:rowOff>134854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700"/>
  </sheetPr>
  <dimension ref="B1:H15"/>
  <sheetViews>
    <sheetView showGridLines="0" workbookViewId="0"/>
  </sheetViews>
  <sheetFormatPr defaultRowHeight="14.4" x14ac:dyDescent="0.3"/>
  <cols>
    <col min="1" max="1" width="3" customWidth="1"/>
    <col min="2" max="2" width="18" customWidth="1"/>
    <col min="3" max="3" width="32" customWidth="1"/>
    <col min="4" max="4" width="15" customWidth="1"/>
    <col min="5" max="6" width="13" customWidth="1"/>
    <col min="7" max="7" width="20" customWidth="1"/>
    <col min="8" max="8" width="18" customWidth="1"/>
  </cols>
  <sheetData>
    <row r="1" spans="2:8" ht="42" customHeight="1" x14ac:dyDescent="0.3">
      <c r="B1" s="67" t="s">
        <v>0</v>
      </c>
      <c r="C1" s="68"/>
      <c r="D1" s="68"/>
      <c r="E1" s="68"/>
      <c r="F1" s="68"/>
      <c r="G1" s="68"/>
      <c r="H1" s="68"/>
    </row>
    <row r="2" spans="2:8" ht="22.05" customHeight="1" x14ac:dyDescent="0.3">
      <c r="B2" s="69" t="s">
        <v>1</v>
      </c>
      <c r="C2" s="68"/>
      <c r="D2" s="68"/>
      <c r="E2" s="68"/>
      <c r="F2" s="68"/>
      <c r="G2" s="68"/>
      <c r="H2" s="68"/>
    </row>
    <row r="3" spans="2:8" ht="25.95" customHeight="1" x14ac:dyDescent="0.3"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</row>
    <row r="4" spans="2:8" ht="19.95" customHeight="1" x14ac:dyDescent="0.3">
      <c r="B4" s="32" t="s">
        <v>9</v>
      </c>
      <c r="C4" s="33" t="s">
        <v>10</v>
      </c>
      <c r="D4" s="34">
        <v>208</v>
      </c>
      <c r="E4" s="35">
        <v>2.75</v>
      </c>
      <c r="F4" s="36">
        <v>1.339829476248477E-2</v>
      </c>
      <c r="G4" s="37">
        <v>323619109424</v>
      </c>
      <c r="H4" s="38" t="s">
        <v>11</v>
      </c>
    </row>
    <row r="5" spans="2:8" ht="19.95" customHeight="1" x14ac:dyDescent="0.3">
      <c r="B5" s="39" t="s">
        <v>12</v>
      </c>
      <c r="C5" s="40" t="s">
        <v>13</v>
      </c>
      <c r="D5" s="41">
        <v>555</v>
      </c>
      <c r="E5" s="42">
        <v>-0.25</v>
      </c>
      <c r="F5" s="43">
        <v>-4.5024763619990998E-2</v>
      </c>
      <c r="G5" s="44">
        <v>263736000000</v>
      </c>
      <c r="H5" s="45" t="s">
        <v>11</v>
      </c>
    </row>
    <row r="6" spans="2:8" ht="19.95" customHeight="1" x14ac:dyDescent="0.3">
      <c r="B6" s="32" t="s">
        <v>14</v>
      </c>
      <c r="C6" s="33" t="s">
        <v>15</v>
      </c>
      <c r="D6" s="34">
        <v>42</v>
      </c>
      <c r="E6" s="35">
        <v>0.4</v>
      </c>
      <c r="F6" s="36">
        <v>0.96153846153846156</v>
      </c>
      <c r="G6" s="37">
        <v>386414069748</v>
      </c>
      <c r="H6" s="38" t="s">
        <v>11</v>
      </c>
    </row>
    <row r="7" spans="2:8" ht="19.95" customHeight="1" x14ac:dyDescent="0.3">
      <c r="B7" s="39" t="s">
        <v>16</v>
      </c>
      <c r="C7" s="40" t="s">
        <v>17</v>
      </c>
      <c r="D7" s="41">
        <v>20.100000000000001</v>
      </c>
      <c r="E7" s="35">
        <v>0</v>
      </c>
      <c r="F7" s="36">
        <v>0</v>
      </c>
      <c r="G7" s="44">
        <v>355948122501.59998</v>
      </c>
      <c r="H7" s="45" t="s">
        <v>11</v>
      </c>
    </row>
    <row r="8" spans="2:8" ht="19.95" customHeight="1" x14ac:dyDescent="0.3">
      <c r="B8" s="32" t="s">
        <v>18</v>
      </c>
      <c r="C8" s="33" t="s">
        <v>19</v>
      </c>
      <c r="D8" s="34">
        <v>399</v>
      </c>
      <c r="E8" s="42">
        <v>-1</v>
      </c>
      <c r="F8" s="43">
        <v>-0.25</v>
      </c>
      <c r="G8" s="37">
        <v>183627053820</v>
      </c>
      <c r="H8" s="38" t="s">
        <v>11</v>
      </c>
    </row>
    <row r="9" spans="2:8" ht="19.95" customHeight="1" x14ac:dyDescent="0.3">
      <c r="B9" s="39" t="s">
        <v>20</v>
      </c>
      <c r="C9" s="40" t="s">
        <v>21</v>
      </c>
      <c r="D9" s="41">
        <v>142.75</v>
      </c>
      <c r="E9" s="42">
        <v>-0.25</v>
      </c>
      <c r="F9" s="43">
        <v>-0.17482517482517479</v>
      </c>
      <c r="G9" s="44">
        <v>167403033490</v>
      </c>
      <c r="H9" s="45" t="s">
        <v>11</v>
      </c>
    </row>
    <row r="10" spans="2:8" ht="19.95" customHeight="1" x14ac:dyDescent="0.3">
      <c r="B10" s="32" t="s">
        <v>22</v>
      </c>
      <c r="C10" s="33" t="s">
        <v>23</v>
      </c>
      <c r="D10" s="34">
        <v>321</v>
      </c>
      <c r="E10" s="35">
        <v>3</v>
      </c>
      <c r="F10" s="36">
        <v>0.94339622641509435</v>
      </c>
      <c r="G10" s="37">
        <v>92605786908</v>
      </c>
      <c r="H10" s="38" t="s">
        <v>11</v>
      </c>
    </row>
    <row r="11" spans="2:8" ht="19.95" customHeight="1" x14ac:dyDescent="0.3">
      <c r="B11" s="39" t="s">
        <v>24</v>
      </c>
      <c r="C11" s="40" t="s">
        <v>25</v>
      </c>
      <c r="D11" s="41">
        <v>461</v>
      </c>
      <c r="E11" s="35">
        <v>1</v>
      </c>
      <c r="F11" s="36">
        <v>0.21739130434782611</v>
      </c>
      <c r="G11" s="44">
        <v>27660000000</v>
      </c>
      <c r="H11" s="45" t="s">
        <v>11</v>
      </c>
    </row>
    <row r="12" spans="2:8" ht="19.95" customHeight="1" x14ac:dyDescent="0.3">
      <c r="B12" s="32" t="s">
        <v>26</v>
      </c>
      <c r="C12" s="33" t="s">
        <v>27</v>
      </c>
      <c r="D12" s="34">
        <v>1828</v>
      </c>
      <c r="E12" s="42">
        <v>-1.75</v>
      </c>
      <c r="F12" s="43">
        <v>-9.5641481076649812E-2</v>
      </c>
      <c r="G12" s="37">
        <v>342427816828</v>
      </c>
      <c r="H12" s="38" t="s">
        <v>11</v>
      </c>
    </row>
    <row r="13" spans="2:8" ht="19.95" customHeight="1" x14ac:dyDescent="0.3">
      <c r="B13" s="39" t="s">
        <v>28</v>
      </c>
      <c r="C13" s="40" t="s">
        <v>29</v>
      </c>
      <c r="D13" s="41">
        <v>820</v>
      </c>
      <c r="E13" s="35">
        <v>20</v>
      </c>
      <c r="F13" s="36">
        <v>2.5000000000000001E-2</v>
      </c>
      <c r="G13" s="44">
        <v>161037269480</v>
      </c>
      <c r="H13" s="45" t="s">
        <v>11</v>
      </c>
    </row>
    <row r="15" spans="2:8" ht="18" customHeight="1" x14ac:dyDescent="0.3">
      <c r="B15" s="70" t="s">
        <v>30</v>
      </c>
      <c r="C15" s="68"/>
      <c r="D15" s="68"/>
      <c r="E15" s="68"/>
      <c r="F15" s="68"/>
      <c r="G15" s="68"/>
      <c r="H15" s="68"/>
    </row>
  </sheetData>
  <mergeCells count="3">
    <mergeCell ref="B1:H1"/>
    <mergeCell ref="B2:H2"/>
    <mergeCell ref="B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B1:K28"/>
  <sheetViews>
    <sheetView showGridLines="0" workbookViewId="0"/>
  </sheetViews>
  <sheetFormatPr defaultRowHeight="14.4" x14ac:dyDescent="0.3"/>
  <cols>
    <col min="1" max="1" width="3" customWidth="1"/>
    <col min="2" max="2" width="16" customWidth="1"/>
    <col min="3" max="3" width="28" customWidth="1"/>
    <col min="4" max="5" width="13" customWidth="1"/>
    <col min="6" max="6" width="3" customWidth="1"/>
    <col min="7" max="7" width="16" customWidth="1"/>
    <col min="8" max="8" width="28" customWidth="1"/>
    <col min="9" max="10" width="13" customWidth="1"/>
  </cols>
  <sheetData>
    <row r="1" spans="2:11" ht="37.950000000000003" customHeight="1" x14ac:dyDescent="0.3">
      <c r="B1" s="73" t="s">
        <v>31</v>
      </c>
      <c r="C1" s="68"/>
      <c r="D1" s="68"/>
      <c r="E1" s="68"/>
      <c r="F1" s="68"/>
      <c r="G1" s="68"/>
      <c r="H1" s="68"/>
      <c r="I1" s="68"/>
      <c r="J1" s="68"/>
      <c r="K1" s="68"/>
    </row>
    <row r="2" spans="2:11" ht="7.95" customHeight="1" x14ac:dyDescent="0.3"/>
    <row r="3" spans="2:11" ht="25.95" customHeight="1" x14ac:dyDescent="0.3">
      <c r="B3" s="74" t="s">
        <v>32</v>
      </c>
      <c r="C3" s="68"/>
      <c r="D3" s="68"/>
      <c r="E3" s="68"/>
      <c r="G3" s="72" t="s">
        <v>33</v>
      </c>
      <c r="H3" s="68"/>
      <c r="I3" s="68"/>
      <c r="J3" s="68"/>
    </row>
    <row r="4" spans="2:11" ht="22.05" customHeight="1" x14ac:dyDescent="0.3">
      <c r="B4" s="46" t="s">
        <v>2</v>
      </c>
      <c r="C4" s="46" t="s">
        <v>34</v>
      </c>
      <c r="D4" s="46" t="s">
        <v>35</v>
      </c>
      <c r="E4" s="46" t="s">
        <v>6</v>
      </c>
      <c r="G4" s="47" t="s">
        <v>2</v>
      </c>
      <c r="H4" s="47" t="s">
        <v>34</v>
      </c>
      <c r="I4" s="47" t="s">
        <v>35</v>
      </c>
      <c r="J4" s="47" t="s">
        <v>6</v>
      </c>
    </row>
    <row r="5" spans="2:11" ht="18" customHeight="1" x14ac:dyDescent="0.3">
      <c r="B5" s="48" t="s">
        <v>36</v>
      </c>
      <c r="C5" s="49"/>
      <c r="D5" s="50">
        <v>0</v>
      </c>
      <c r="E5" s="51">
        <v>0.2</v>
      </c>
      <c r="G5" s="52" t="s">
        <v>37</v>
      </c>
      <c r="H5" s="53"/>
      <c r="I5" s="54">
        <v>0</v>
      </c>
      <c r="J5" s="55">
        <v>-9.7323600973236016E-2</v>
      </c>
    </row>
    <row r="6" spans="2:11" ht="18" customHeight="1" x14ac:dyDescent="0.3">
      <c r="B6" s="56" t="s">
        <v>38</v>
      </c>
      <c r="C6" s="57"/>
      <c r="D6" s="58">
        <v>0</v>
      </c>
      <c r="E6" s="59">
        <v>0.1420413990007138</v>
      </c>
      <c r="G6" s="60" t="s">
        <v>39</v>
      </c>
      <c r="H6" s="61"/>
      <c r="I6" s="62">
        <v>0</v>
      </c>
      <c r="J6" s="63">
        <v>-4.1860465116279083E-2</v>
      </c>
    </row>
    <row r="7" spans="2:11" ht="18" customHeight="1" x14ac:dyDescent="0.3">
      <c r="B7" s="48" t="s">
        <v>40</v>
      </c>
      <c r="C7" s="49"/>
      <c r="D7" s="50">
        <v>0</v>
      </c>
      <c r="E7" s="51">
        <v>8.5802742149491365E-2</v>
      </c>
      <c r="G7" s="52" t="s">
        <v>41</v>
      </c>
      <c r="H7" s="53"/>
      <c r="I7" s="54">
        <v>0</v>
      </c>
      <c r="J7" s="55">
        <v>-3.687089715536105E-2</v>
      </c>
    </row>
    <row r="8" spans="2:11" ht="18" customHeight="1" x14ac:dyDescent="0.3">
      <c r="B8" s="56" t="s">
        <v>42</v>
      </c>
      <c r="C8" s="57"/>
      <c r="D8" s="58">
        <v>0</v>
      </c>
      <c r="E8" s="59">
        <v>7.9365079365079361E-2</v>
      </c>
      <c r="G8" s="60" t="s">
        <v>43</v>
      </c>
      <c r="H8" s="61"/>
      <c r="I8" s="62">
        <v>0</v>
      </c>
      <c r="J8" s="63">
        <v>-3.538241601143674E-2</v>
      </c>
    </row>
    <row r="9" spans="2:11" ht="18" customHeight="1" x14ac:dyDescent="0.3">
      <c r="B9" s="48" t="s">
        <v>44</v>
      </c>
      <c r="C9" s="49"/>
      <c r="D9" s="50">
        <v>0</v>
      </c>
      <c r="E9" s="51">
        <v>7.6923076923076927E-2</v>
      </c>
      <c r="G9" s="52" t="s">
        <v>45</v>
      </c>
      <c r="H9" s="53"/>
      <c r="I9" s="54">
        <v>0</v>
      </c>
      <c r="J9" s="55">
        <v>-3.5087719298245612E-2</v>
      </c>
    </row>
    <row r="10" spans="2:11" ht="18" customHeight="1" x14ac:dyDescent="0.3">
      <c r="B10" s="56" t="s">
        <v>46</v>
      </c>
      <c r="C10" s="57"/>
      <c r="D10" s="58">
        <v>0</v>
      </c>
      <c r="E10" s="59">
        <v>7.6411960132890366E-2</v>
      </c>
      <c r="G10" s="60" t="s">
        <v>47</v>
      </c>
      <c r="H10" s="61"/>
      <c r="I10" s="62">
        <v>0</v>
      </c>
      <c r="J10" s="63">
        <v>-2.9850746268656719E-2</v>
      </c>
    </row>
    <row r="11" spans="2:11" ht="18" customHeight="1" x14ac:dyDescent="0.3">
      <c r="B11" s="48" t="s">
        <v>48</v>
      </c>
      <c r="C11" s="49"/>
      <c r="D11" s="50">
        <v>0</v>
      </c>
      <c r="E11" s="51">
        <v>7.6086956521739135E-2</v>
      </c>
      <c r="G11" s="52" t="s">
        <v>49</v>
      </c>
      <c r="H11" s="53"/>
      <c r="I11" s="54">
        <v>0</v>
      </c>
      <c r="J11" s="55">
        <v>-2.7472527472527469E-2</v>
      </c>
    </row>
    <row r="12" spans="2:11" ht="18" customHeight="1" x14ac:dyDescent="0.3">
      <c r="B12" s="56" t="s">
        <v>50</v>
      </c>
      <c r="C12" s="57"/>
      <c r="D12" s="58">
        <v>0</v>
      </c>
      <c r="E12" s="59">
        <v>7.301587301587302E-2</v>
      </c>
      <c r="G12" s="60" t="s">
        <v>51</v>
      </c>
      <c r="H12" s="61"/>
      <c r="I12" s="62">
        <v>0</v>
      </c>
      <c r="J12" s="63">
        <v>-2.7450980392156859E-2</v>
      </c>
    </row>
    <row r="13" spans="2:11" ht="18" customHeight="1" x14ac:dyDescent="0.3">
      <c r="B13" s="48" t="s">
        <v>52</v>
      </c>
      <c r="C13" s="49"/>
      <c r="D13" s="50">
        <v>0</v>
      </c>
      <c r="E13" s="51">
        <v>6.8965517241379309E-2</v>
      </c>
      <c r="G13" s="52" t="s">
        <v>53</v>
      </c>
      <c r="H13" s="53"/>
      <c r="I13" s="54">
        <v>0</v>
      </c>
      <c r="J13" s="55">
        <v>-2.684563758389262E-2</v>
      </c>
    </row>
    <row r="14" spans="2:11" ht="18" customHeight="1" x14ac:dyDescent="0.3">
      <c r="B14" s="56" t="s">
        <v>54</v>
      </c>
      <c r="C14" s="57"/>
      <c r="D14" s="58">
        <v>0</v>
      </c>
      <c r="E14" s="59">
        <v>6.5652522017614096E-2</v>
      </c>
      <c r="G14" s="60" t="s">
        <v>55</v>
      </c>
      <c r="H14" s="61"/>
      <c r="I14" s="62">
        <v>0</v>
      </c>
      <c r="J14" s="63">
        <v>-2.542372881355932E-2</v>
      </c>
    </row>
    <row r="17" spans="2:5" ht="25.95" customHeight="1" x14ac:dyDescent="0.3">
      <c r="B17" s="71" t="s">
        <v>56</v>
      </c>
      <c r="C17" s="68"/>
      <c r="D17" s="68"/>
      <c r="E17" s="68"/>
    </row>
    <row r="18" spans="2:5" x14ac:dyDescent="0.3">
      <c r="B18" s="31" t="s">
        <v>2</v>
      </c>
      <c r="C18" s="31" t="s">
        <v>34</v>
      </c>
      <c r="D18" s="31" t="s">
        <v>35</v>
      </c>
      <c r="E18" s="31" t="s">
        <v>57</v>
      </c>
    </row>
    <row r="19" spans="2:5" ht="18" customHeight="1" x14ac:dyDescent="0.3">
      <c r="B19" s="32" t="s">
        <v>48</v>
      </c>
      <c r="C19" s="33"/>
      <c r="D19" s="64">
        <v>0</v>
      </c>
      <c r="E19" s="37">
        <v>0</v>
      </c>
    </row>
    <row r="20" spans="2:5" ht="18" customHeight="1" x14ac:dyDescent="0.3">
      <c r="B20" s="39" t="s">
        <v>20</v>
      </c>
      <c r="C20" s="40"/>
      <c r="D20" s="65">
        <v>0</v>
      </c>
      <c r="E20" s="44">
        <v>0</v>
      </c>
    </row>
    <row r="21" spans="2:5" ht="18" customHeight="1" x14ac:dyDescent="0.3">
      <c r="B21" s="32" t="s">
        <v>16</v>
      </c>
      <c r="C21" s="33"/>
      <c r="D21" s="64">
        <v>0</v>
      </c>
      <c r="E21" s="37">
        <v>0</v>
      </c>
    </row>
    <row r="22" spans="2:5" ht="18" customHeight="1" x14ac:dyDescent="0.3">
      <c r="B22" s="39" t="s">
        <v>14</v>
      </c>
      <c r="C22" s="40"/>
      <c r="D22" s="65">
        <v>0</v>
      </c>
      <c r="E22" s="44">
        <v>0</v>
      </c>
    </row>
    <row r="23" spans="2:5" ht="18" customHeight="1" x14ac:dyDescent="0.3">
      <c r="B23" s="32" t="s">
        <v>58</v>
      </c>
      <c r="C23" s="33"/>
      <c r="D23" s="64">
        <v>0</v>
      </c>
      <c r="E23" s="37">
        <v>0</v>
      </c>
    </row>
    <row r="24" spans="2:5" ht="18" customHeight="1" x14ac:dyDescent="0.3">
      <c r="B24" s="39" t="s">
        <v>59</v>
      </c>
      <c r="C24" s="40"/>
      <c r="D24" s="65">
        <v>0</v>
      </c>
      <c r="E24" s="44">
        <v>0</v>
      </c>
    </row>
    <row r="25" spans="2:5" ht="18" customHeight="1" x14ac:dyDescent="0.3">
      <c r="B25" s="32" t="s">
        <v>9</v>
      </c>
      <c r="C25" s="33"/>
      <c r="D25" s="64">
        <v>0</v>
      </c>
      <c r="E25" s="37">
        <v>0</v>
      </c>
    </row>
    <row r="26" spans="2:5" ht="18" customHeight="1" x14ac:dyDescent="0.3">
      <c r="B26" s="39" t="s">
        <v>60</v>
      </c>
      <c r="C26" s="40"/>
      <c r="D26" s="65">
        <v>0</v>
      </c>
      <c r="E26" s="44">
        <v>0</v>
      </c>
    </row>
    <row r="27" spans="2:5" ht="18" customHeight="1" x14ac:dyDescent="0.3">
      <c r="B27" s="32" t="s">
        <v>18</v>
      </c>
      <c r="C27" s="33"/>
      <c r="D27" s="64">
        <v>0</v>
      </c>
      <c r="E27" s="37">
        <v>0</v>
      </c>
    </row>
    <row r="28" spans="2:5" ht="18" customHeight="1" x14ac:dyDescent="0.3">
      <c r="B28" s="39" t="s">
        <v>61</v>
      </c>
      <c r="C28" s="40"/>
      <c r="D28" s="65">
        <v>0</v>
      </c>
      <c r="E28" s="44">
        <v>0</v>
      </c>
    </row>
  </sheetData>
  <mergeCells count="4">
    <mergeCell ref="B17:E17"/>
    <mergeCell ref="G3:J3"/>
    <mergeCell ref="B1:K1"/>
    <mergeCell ref="B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B1:D69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6" customWidth="1"/>
    <col min="3" max="3" width="38" customWidth="1"/>
    <col min="4" max="4" width="46" customWidth="1"/>
    <col min="5" max="5" width="4" customWidth="1"/>
  </cols>
  <sheetData>
    <row r="1" spans="2:4" ht="51.75" customHeight="1" x14ac:dyDescent="0.3">
      <c r="B1" s="78" t="s">
        <v>62</v>
      </c>
      <c r="C1" s="68"/>
      <c r="D1" s="68"/>
    </row>
    <row r="2" spans="2:4" ht="25.5" customHeight="1" x14ac:dyDescent="0.3">
      <c r="B2" s="89" t="s">
        <v>63</v>
      </c>
      <c r="C2" s="68"/>
      <c r="D2" s="68"/>
    </row>
    <row r="3" spans="2:4" ht="12" customHeight="1" x14ac:dyDescent="0.3"/>
    <row r="4" spans="2:4" ht="27.75" customHeight="1" x14ac:dyDescent="0.3">
      <c r="B4" s="86" t="s">
        <v>64</v>
      </c>
      <c r="C4" s="68"/>
      <c r="D4" s="68"/>
    </row>
    <row r="5" spans="2:4" ht="21.75" customHeight="1" x14ac:dyDescent="0.3">
      <c r="B5" s="88" t="s">
        <v>65</v>
      </c>
      <c r="C5" s="68"/>
      <c r="D5" s="68"/>
    </row>
    <row r="6" spans="2:4" ht="21.75" customHeight="1" x14ac:dyDescent="0.3">
      <c r="B6" s="79" t="s">
        <v>66</v>
      </c>
      <c r="C6" s="68"/>
      <c r="D6" s="68"/>
    </row>
    <row r="7" spans="2:4" ht="21.75" customHeight="1" x14ac:dyDescent="0.3">
      <c r="B7" s="88" t="s">
        <v>67</v>
      </c>
      <c r="C7" s="68"/>
      <c r="D7" s="68"/>
    </row>
    <row r="8" spans="2:4" ht="21.75" customHeight="1" x14ac:dyDescent="0.3">
      <c r="B8" s="79" t="s">
        <v>68</v>
      </c>
      <c r="C8" s="68"/>
      <c r="D8" s="68"/>
    </row>
    <row r="9" spans="2:4" ht="21.75" customHeight="1" x14ac:dyDescent="0.3">
      <c r="B9" s="88" t="s">
        <v>69</v>
      </c>
      <c r="C9" s="68"/>
      <c r="D9" s="68"/>
    </row>
    <row r="10" spans="2:4" ht="21.75" customHeight="1" x14ac:dyDescent="0.3">
      <c r="B10" s="79" t="s">
        <v>70</v>
      </c>
      <c r="C10" s="68"/>
      <c r="D10" s="68"/>
    </row>
    <row r="11" spans="2:4" ht="13.5" customHeight="1" x14ac:dyDescent="0.3"/>
    <row r="12" spans="2:4" ht="27.75" customHeight="1" x14ac:dyDescent="0.3">
      <c r="B12" s="81" t="s">
        <v>71</v>
      </c>
      <c r="C12" s="68"/>
      <c r="D12" s="68"/>
    </row>
    <row r="13" spans="2:4" ht="25.5" customHeight="1" x14ac:dyDescent="0.3">
      <c r="B13" s="85" t="s">
        <v>72</v>
      </c>
      <c r="C13" s="1" t="s">
        <v>73</v>
      </c>
      <c r="D13" s="2" t="s">
        <v>74</v>
      </c>
    </row>
    <row r="14" spans="2:4" ht="48" customHeight="1" x14ac:dyDescent="0.3">
      <c r="B14" s="68"/>
      <c r="C14" s="3" t="s">
        <v>75</v>
      </c>
      <c r="D14" s="4"/>
    </row>
    <row r="15" spans="2:4" ht="9.75" customHeight="1" x14ac:dyDescent="0.3"/>
    <row r="16" spans="2:4" ht="25.5" customHeight="1" x14ac:dyDescent="0.3">
      <c r="B16" s="85" t="s">
        <v>76</v>
      </c>
      <c r="C16" s="1" t="s">
        <v>77</v>
      </c>
      <c r="D16" s="2" t="s">
        <v>74</v>
      </c>
    </row>
    <row r="17" spans="2:4" ht="48" customHeight="1" x14ac:dyDescent="0.3">
      <c r="B17" s="68"/>
      <c r="C17" s="3" t="s">
        <v>78</v>
      </c>
      <c r="D17" s="4"/>
    </row>
    <row r="18" spans="2:4" ht="9.75" customHeight="1" x14ac:dyDescent="0.3"/>
    <row r="19" spans="2:4" ht="25.5" customHeight="1" x14ac:dyDescent="0.3">
      <c r="B19" s="85" t="s">
        <v>79</v>
      </c>
      <c r="C19" s="1" t="s">
        <v>80</v>
      </c>
      <c r="D19" s="2" t="s">
        <v>74</v>
      </c>
    </row>
    <row r="20" spans="2:4" ht="48" customHeight="1" x14ac:dyDescent="0.3">
      <c r="B20" s="68"/>
      <c r="C20" s="3" t="s">
        <v>81</v>
      </c>
      <c r="D20" s="4"/>
    </row>
    <row r="21" spans="2:4" ht="9.75" customHeight="1" x14ac:dyDescent="0.3"/>
    <row r="22" spans="2:4" ht="25.5" customHeight="1" x14ac:dyDescent="0.3">
      <c r="B22" s="85" t="s">
        <v>82</v>
      </c>
      <c r="C22" s="1" t="s">
        <v>83</v>
      </c>
      <c r="D22" s="2" t="s">
        <v>74</v>
      </c>
    </row>
    <row r="23" spans="2:4" ht="48" customHeight="1" x14ac:dyDescent="0.3">
      <c r="B23" s="68"/>
      <c r="C23" s="3" t="s">
        <v>84</v>
      </c>
      <c r="D23" s="4"/>
    </row>
    <row r="24" spans="2:4" ht="9.75" customHeight="1" x14ac:dyDescent="0.3"/>
    <row r="25" spans="2:4" ht="25.5" customHeight="1" x14ac:dyDescent="0.3">
      <c r="B25" s="93" t="s">
        <v>85</v>
      </c>
      <c r="C25" s="1" t="s">
        <v>86</v>
      </c>
      <c r="D25" s="2" t="s">
        <v>87</v>
      </c>
    </row>
    <row r="26" spans="2:4" ht="48" customHeight="1" x14ac:dyDescent="0.3">
      <c r="B26" s="68"/>
      <c r="C26" s="3" t="s">
        <v>88</v>
      </c>
      <c r="D26" s="4"/>
    </row>
    <row r="27" spans="2:4" ht="9.75" customHeight="1" x14ac:dyDescent="0.3"/>
    <row r="28" spans="2:4" ht="13.5" customHeight="1" x14ac:dyDescent="0.3"/>
    <row r="29" spans="2:4" ht="27.75" customHeight="1" x14ac:dyDescent="0.3">
      <c r="B29" s="81" t="s">
        <v>89</v>
      </c>
      <c r="C29" s="68"/>
      <c r="D29" s="68"/>
    </row>
    <row r="30" spans="2:4" ht="19.5" customHeight="1" x14ac:dyDescent="0.3">
      <c r="B30" s="91" t="s">
        <v>90</v>
      </c>
      <c r="C30" s="5" t="s">
        <v>91</v>
      </c>
      <c r="D30" s="6" t="s">
        <v>92</v>
      </c>
    </row>
    <row r="31" spans="2:4" ht="19.5" customHeight="1" x14ac:dyDescent="0.3">
      <c r="B31" s="68"/>
      <c r="C31" s="75" t="s">
        <v>93</v>
      </c>
      <c r="D31" s="68"/>
    </row>
    <row r="32" spans="2:4" ht="7.5" customHeight="1" x14ac:dyDescent="0.3"/>
    <row r="33" spans="2:4" ht="19.5" customHeight="1" x14ac:dyDescent="0.3">
      <c r="B33" s="90" t="s">
        <v>90</v>
      </c>
      <c r="C33" s="7" t="s">
        <v>94</v>
      </c>
      <c r="D33" s="8" t="s">
        <v>95</v>
      </c>
    </row>
    <row r="34" spans="2:4" ht="19.5" customHeight="1" x14ac:dyDescent="0.3">
      <c r="B34" s="68"/>
      <c r="C34" s="75" t="s">
        <v>96</v>
      </c>
      <c r="D34" s="68"/>
    </row>
    <row r="35" spans="2:4" ht="7.5" customHeight="1" x14ac:dyDescent="0.3"/>
    <row r="36" spans="2:4" ht="19.5" customHeight="1" x14ac:dyDescent="0.3">
      <c r="B36" s="82" t="s">
        <v>90</v>
      </c>
      <c r="C36" s="9" t="s">
        <v>97</v>
      </c>
      <c r="D36" s="10" t="s">
        <v>95</v>
      </c>
    </row>
    <row r="37" spans="2:4" ht="19.5" customHeight="1" x14ac:dyDescent="0.3">
      <c r="B37" s="68"/>
      <c r="C37" s="75" t="s">
        <v>98</v>
      </c>
      <c r="D37" s="68"/>
    </row>
    <row r="38" spans="2:4" ht="7.5" customHeight="1" x14ac:dyDescent="0.3"/>
    <row r="39" spans="2:4" ht="19.5" customHeight="1" x14ac:dyDescent="0.3">
      <c r="B39" s="83" t="s">
        <v>90</v>
      </c>
      <c r="C39" s="11" t="s">
        <v>99</v>
      </c>
      <c r="D39" s="12" t="s">
        <v>100</v>
      </c>
    </row>
    <row r="40" spans="2:4" ht="19.5" customHeight="1" x14ac:dyDescent="0.3">
      <c r="B40" s="68"/>
      <c r="C40" s="75" t="s">
        <v>101</v>
      </c>
      <c r="D40" s="68"/>
    </row>
    <row r="41" spans="2:4" ht="7.5" customHeight="1" x14ac:dyDescent="0.3"/>
    <row r="42" spans="2:4" ht="19.5" customHeight="1" x14ac:dyDescent="0.3">
      <c r="B42" s="82" t="s">
        <v>90</v>
      </c>
      <c r="C42" s="9" t="s">
        <v>102</v>
      </c>
      <c r="D42" s="10" t="s">
        <v>103</v>
      </c>
    </row>
    <row r="43" spans="2:4" ht="19.5" customHeight="1" x14ac:dyDescent="0.3">
      <c r="B43" s="68"/>
      <c r="C43" s="75" t="s">
        <v>104</v>
      </c>
      <c r="D43" s="68"/>
    </row>
    <row r="44" spans="2:4" ht="7.5" customHeight="1" x14ac:dyDescent="0.3"/>
    <row r="45" spans="2:4" ht="19.5" customHeight="1" x14ac:dyDescent="0.3">
      <c r="B45" s="90" t="s">
        <v>90</v>
      </c>
      <c r="C45" s="7" t="s">
        <v>105</v>
      </c>
      <c r="D45" s="8" t="s">
        <v>106</v>
      </c>
    </row>
    <row r="46" spans="2:4" ht="19.5" customHeight="1" x14ac:dyDescent="0.3">
      <c r="B46" s="68"/>
      <c r="C46" s="75" t="s">
        <v>107</v>
      </c>
      <c r="D46" s="68"/>
    </row>
    <row r="47" spans="2:4" ht="7.5" customHeight="1" x14ac:dyDescent="0.3"/>
    <row r="48" spans="2:4" ht="13.5" customHeight="1" x14ac:dyDescent="0.3"/>
    <row r="49" spans="2:4" ht="27.75" customHeight="1" x14ac:dyDescent="0.3">
      <c r="B49" s="86" t="s">
        <v>108</v>
      </c>
      <c r="C49" s="68"/>
      <c r="D49" s="68"/>
    </row>
    <row r="50" spans="2:4" ht="21.75" customHeight="1" x14ac:dyDescent="0.3">
      <c r="B50" s="13" t="s">
        <v>109</v>
      </c>
      <c r="C50" s="84" t="s">
        <v>110</v>
      </c>
      <c r="D50" s="68"/>
    </row>
    <row r="51" spans="2:4" ht="21.75" customHeight="1" x14ac:dyDescent="0.3">
      <c r="B51" s="13" t="s">
        <v>111</v>
      </c>
      <c r="C51" s="84" t="s">
        <v>112</v>
      </c>
      <c r="D51" s="68"/>
    </row>
    <row r="52" spans="2:4" ht="21.75" customHeight="1" x14ac:dyDescent="0.3">
      <c r="B52" s="13" t="s">
        <v>113</v>
      </c>
      <c r="C52" s="84" t="s">
        <v>114</v>
      </c>
      <c r="D52" s="68"/>
    </row>
    <row r="53" spans="2:4" ht="21.75" customHeight="1" x14ac:dyDescent="0.3">
      <c r="B53" s="13" t="s">
        <v>115</v>
      </c>
      <c r="C53" s="84" t="s">
        <v>116</v>
      </c>
      <c r="D53" s="68"/>
    </row>
    <row r="54" spans="2:4" ht="21.75" customHeight="1" x14ac:dyDescent="0.3">
      <c r="B54" s="13" t="s">
        <v>117</v>
      </c>
      <c r="C54" s="84" t="s">
        <v>118</v>
      </c>
      <c r="D54" s="68"/>
    </row>
    <row r="55" spans="2:4" ht="21.75" customHeight="1" x14ac:dyDescent="0.3">
      <c r="B55" s="14"/>
      <c r="C55" s="87" t="s">
        <v>119</v>
      </c>
      <c r="D55" s="68"/>
    </row>
    <row r="56" spans="2:4" ht="13.5" customHeight="1" x14ac:dyDescent="0.3"/>
    <row r="57" spans="2:4" ht="27.75" customHeight="1" x14ac:dyDescent="0.3">
      <c r="B57" s="80" t="s">
        <v>120</v>
      </c>
      <c r="C57" s="68"/>
      <c r="D57" s="68"/>
    </row>
    <row r="58" spans="2:4" ht="21.75" customHeight="1" x14ac:dyDescent="0.3">
      <c r="B58" s="76" t="s">
        <v>121</v>
      </c>
      <c r="C58" s="68"/>
      <c r="D58" s="68"/>
    </row>
    <row r="59" spans="2:4" ht="21.75" customHeight="1" x14ac:dyDescent="0.3">
      <c r="B59" s="76" t="s">
        <v>122</v>
      </c>
      <c r="C59" s="68"/>
      <c r="D59" s="68"/>
    </row>
    <row r="60" spans="2:4" ht="21.75" customHeight="1" x14ac:dyDescent="0.3">
      <c r="B60" s="76" t="s">
        <v>123</v>
      </c>
      <c r="C60" s="68"/>
      <c r="D60" s="68"/>
    </row>
    <row r="61" spans="2:4" ht="21.75" customHeight="1" x14ac:dyDescent="0.3">
      <c r="B61" s="76" t="s">
        <v>124</v>
      </c>
      <c r="C61" s="68"/>
      <c r="D61" s="68"/>
    </row>
    <row r="62" spans="2:4" ht="21.75" customHeight="1" x14ac:dyDescent="0.3">
      <c r="B62" s="76" t="s">
        <v>125</v>
      </c>
      <c r="C62" s="68"/>
      <c r="D62" s="68"/>
    </row>
    <row r="63" spans="2:4" ht="21.75" customHeight="1" x14ac:dyDescent="0.3">
      <c r="B63" s="76" t="s">
        <v>126</v>
      </c>
      <c r="C63" s="68"/>
      <c r="D63" s="68"/>
    </row>
    <row r="64" spans="2:4" ht="21.75" customHeight="1" x14ac:dyDescent="0.3">
      <c r="B64" s="76" t="s">
        <v>127</v>
      </c>
      <c r="C64" s="68"/>
      <c r="D64" s="68"/>
    </row>
    <row r="65" spans="2:4" ht="13.5" customHeight="1" x14ac:dyDescent="0.3"/>
    <row r="66" spans="2:4" ht="27.75" customHeight="1" x14ac:dyDescent="0.3">
      <c r="B66" s="92" t="s">
        <v>128</v>
      </c>
      <c r="C66" s="68"/>
      <c r="D66" s="68"/>
    </row>
    <row r="67" spans="2:4" ht="25.5" customHeight="1" x14ac:dyDescent="0.3">
      <c r="B67" s="15" t="s">
        <v>129</v>
      </c>
      <c r="C67" s="77" t="s">
        <v>130</v>
      </c>
      <c r="D67" s="68"/>
    </row>
    <row r="68" spans="2:4" ht="25.5" customHeight="1" x14ac:dyDescent="0.3">
      <c r="B68" s="15" t="s">
        <v>131</v>
      </c>
      <c r="C68" s="77" t="s">
        <v>132</v>
      </c>
      <c r="D68" s="68"/>
    </row>
    <row r="69" spans="2:4" ht="25.5" customHeight="1" x14ac:dyDescent="0.3">
      <c r="B69" s="15" t="s">
        <v>133</v>
      </c>
      <c r="C69" s="77" t="s">
        <v>134</v>
      </c>
      <c r="D69" s="68"/>
    </row>
  </sheetData>
  <mergeCells count="47">
    <mergeCell ref="C69:D69"/>
    <mergeCell ref="B66:D66"/>
    <mergeCell ref="C67:D67"/>
    <mergeCell ref="B22:B23"/>
    <mergeCell ref="C37:D37"/>
    <mergeCell ref="B58:D58"/>
    <mergeCell ref="B25:B26"/>
    <mergeCell ref="C53:D53"/>
    <mergeCell ref="B64:D64"/>
    <mergeCell ref="C43:D43"/>
    <mergeCell ref="B5:D5"/>
    <mergeCell ref="C46:D46"/>
    <mergeCell ref="B63:D63"/>
    <mergeCell ref="B36:B37"/>
    <mergeCell ref="C51:D51"/>
    <mergeCell ref="B33:B34"/>
    <mergeCell ref="B12:D12"/>
    <mergeCell ref="C52:D52"/>
    <mergeCell ref="B62:D62"/>
    <mergeCell ref="B7:D7"/>
    <mergeCell ref="B30:B31"/>
    <mergeCell ref="B45:B46"/>
    <mergeCell ref="B59:D59"/>
    <mergeCell ref="B16:B17"/>
    <mergeCell ref="C50:D50"/>
    <mergeCell ref="B2:D2"/>
    <mergeCell ref="C40:D40"/>
    <mergeCell ref="C31:D31"/>
    <mergeCell ref="B6:D6"/>
    <mergeCell ref="B19:B20"/>
    <mergeCell ref="B4:D4"/>
    <mergeCell ref="C34:D34"/>
    <mergeCell ref="B60:D60"/>
    <mergeCell ref="C68:D68"/>
    <mergeCell ref="B61:D61"/>
    <mergeCell ref="B1:D1"/>
    <mergeCell ref="B8:D8"/>
    <mergeCell ref="B57:D57"/>
    <mergeCell ref="B29:D29"/>
    <mergeCell ref="B42:B43"/>
    <mergeCell ref="B10:D10"/>
    <mergeCell ref="B39:B40"/>
    <mergeCell ref="C54:D54"/>
    <mergeCell ref="B13:B14"/>
    <mergeCell ref="B49:D49"/>
    <mergeCell ref="C55:D55"/>
    <mergeCell ref="B9:D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B1:G136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14" customWidth="1"/>
    <col min="3" max="5" width="13" customWidth="1"/>
    <col min="6" max="6" width="14" customWidth="1"/>
    <col min="7" max="7" width="16" customWidth="1"/>
  </cols>
  <sheetData>
    <row r="1" spans="2:7" ht="37.5" customHeight="1" x14ac:dyDescent="0.3">
      <c r="B1" s="81" t="s">
        <v>135</v>
      </c>
      <c r="C1" s="68"/>
      <c r="D1" s="68"/>
      <c r="E1" s="68"/>
      <c r="F1" s="68"/>
      <c r="G1" s="68"/>
    </row>
    <row r="2" spans="2:7" ht="24" customHeight="1" x14ac:dyDescent="0.3">
      <c r="B2" s="94" t="s">
        <v>136</v>
      </c>
      <c r="C2" s="68"/>
      <c r="D2" s="68"/>
      <c r="E2" s="68"/>
      <c r="F2" s="68"/>
      <c r="G2" s="68"/>
    </row>
    <row r="3" spans="2:7" ht="33" customHeight="1" x14ac:dyDescent="0.3">
      <c r="B3" s="66" t="s">
        <v>137</v>
      </c>
      <c r="C3" s="65">
        <v>207</v>
      </c>
      <c r="D3" s="65">
        <v>208.25</v>
      </c>
      <c r="E3" s="65">
        <v>206</v>
      </c>
      <c r="F3" s="41">
        <v>208</v>
      </c>
      <c r="G3" s="44">
        <v>0</v>
      </c>
    </row>
    <row r="4" spans="2:7" ht="24" customHeight="1" x14ac:dyDescent="0.3">
      <c r="B4" s="95" t="s">
        <v>138</v>
      </c>
      <c r="C4" s="68"/>
      <c r="D4" s="68"/>
      <c r="E4" s="68"/>
      <c r="F4" s="68"/>
      <c r="G4" s="68"/>
    </row>
    <row r="5" spans="2:7" ht="25.5" customHeight="1" x14ac:dyDescent="0.3">
      <c r="B5" s="16" t="s">
        <v>139</v>
      </c>
      <c r="C5" s="16" t="s">
        <v>140</v>
      </c>
      <c r="D5" s="16" t="s">
        <v>141</v>
      </c>
      <c r="E5" s="16" t="s">
        <v>142</v>
      </c>
      <c r="F5" s="16" t="s">
        <v>143</v>
      </c>
      <c r="G5" s="16" t="s">
        <v>57</v>
      </c>
    </row>
    <row r="6" spans="2:7" ht="18" customHeight="1" x14ac:dyDescent="0.3">
      <c r="B6" s="17" t="s">
        <v>144</v>
      </c>
      <c r="C6" s="17" t="s">
        <v>145</v>
      </c>
      <c r="D6" s="17" t="s">
        <v>146</v>
      </c>
      <c r="E6" s="17" t="s">
        <v>147</v>
      </c>
      <c r="F6" s="17" t="s">
        <v>148</v>
      </c>
      <c r="G6" s="17" t="s">
        <v>149</v>
      </c>
    </row>
    <row r="7" spans="2:7" ht="16.5" customHeight="1" x14ac:dyDescent="0.3">
      <c r="B7" s="18" t="s">
        <v>150</v>
      </c>
      <c r="C7" s="19">
        <v>199.9</v>
      </c>
      <c r="D7" s="19">
        <v>199.99</v>
      </c>
      <c r="E7" s="19">
        <v>199.13</v>
      </c>
      <c r="F7" s="19">
        <v>199.69</v>
      </c>
      <c r="G7" s="20">
        <v>1064275</v>
      </c>
    </row>
    <row r="8" spans="2:7" ht="16.5" customHeight="1" x14ac:dyDescent="0.3">
      <c r="B8" s="21" t="s">
        <v>151</v>
      </c>
      <c r="C8" s="22">
        <v>199.89</v>
      </c>
      <c r="D8" s="22">
        <v>200.1</v>
      </c>
      <c r="E8" s="22">
        <v>196.81</v>
      </c>
      <c r="F8" s="22">
        <v>196.98</v>
      </c>
      <c r="G8" s="23">
        <v>1132447</v>
      </c>
    </row>
    <row r="9" spans="2:7" ht="16.5" customHeight="1" x14ac:dyDescent="0.3">
      <c r="B9" s="18" t="s">
        <v>152</v>
      </c>
      <c r="C9" s="19">
        <v>197.67</v>
      </c>
      <c r="D9" s="19">
        <v>198.73</v>
      </c>
      <c r="E9" s="19">
        <v>197.58</v>
      </c>
      <c r="F9" s="19">
        <v>198.21</v>
      </c>
      <c r="G9" s="20">
        <v>893269</v>
      </c>
    </row>
    <row r="10" spans="2:7" ht="16.5" customHeight="1" x14ac:dyDescent="0.3">
      <c r="B10" s="21" t="s">
        <v>153</v>
      </c>
      <c r="C10" s="22">
        <v>198.36</v>
      </c>
      <c r="D10" s="22">
        <v>199.4</v>
      </c>
      <c r="E10" s="22">
        <v>196.4</v>
      </c>
      <c r="F10" s="22">
        <v>196.43</v>
      </c>
      <c r="G10" s="23">
        <v>1070229</v>
      </c>
    </row>
    <row r="11" spans="2:7" ht="16.5" customHeight="1" x14ac:dyDescent="0.3">
      <c r="B11" s="18" t="s">
        <v>154</v>
      </c>
      <c r="C11" s="19">
        <v>195.57</v>
      </c>
      <c r="D11" s="19">
        <v>196.94</v>
      </c>
      <c r="E11" s="19">
        <v>195.19</v>
      </c>
      <c r="F11" s="19">
        <v>196.69</v>
      </c>
      <c r="G11" s="20">
        <v>1344553</v>
      </c>
    </row>
    <row r="12" spans="2:7" ht="16.5" customHeight="1" x14ac:dyDescent="0.3">
      <c r="B12" s="21" t="s">
        <v>155</v>
      </c>
      <c r="C12" s="22">
        <v>196.91</v>
      </c>
      <c r="D12" s="22">
        <v>197.11</v>
      </c>
      <c r="E12" s="22">
        <v>195.9</v>
      </c>
      <c r="F12" s="22">
        <v>196.51</v>
      </c>
      <c r="G12" s="23">
        <v>788297</v>
      </c>
    </row>
    <row r="13" spans="2:7" ht="16.5" customHeight="1" x14ac:dyDescent="0.3">
      <c r="B13" s="18" t="s">
        <v>156</v>
      </c>
      <c r="C13" s="19">
        <v>195.62</v>
      </c>
      <c r="D13" s="19">
        <v>198.87</v>
      </c>
      <c r="E13" s="19">
        <v>195.15</v>
      </c>
      <c r="F13" s="19">
        <v>196.81</v>
      </c>
      <c r="G13" s="20">
        <v>843573</v>
      </c>
    </row>
    <row r="14" spans="2:7" ht="16.5" customHeight="1" x14ac:dyDescent="0.3">
      <c r="B14" s="21" t="s">
        <v>157</v>
      </c>
      <c r="C14" s="22">
        <v>197.2</v>
      </c>
      <c r="D14" s="22">
        <v>199.98</v>
      </c>
      <c r="E14" s="22">
        <v>196.53</v>
      </c>
      <c r="F14" s="22">
        <v>199.01</v>
      </c>
      <c r="G14" s="23">
        <v>819383</v>
      </c>
    </row>
    <row r="15" spans="2:7" ht="16.5" customHeight="1" x14ac:dyDescent="0.3">
      <c r="B15" s="18" t="s">
        <v>158</v>
      </c>
      <c r="C15" s="19">
        <v>198.83</v>
      </c>
      <c r="D15" s="19">
        <v>198.92</v>
      </c>
      <c r="E15" s="19">
        <v>198.09</v>
      </c>
      <c r="F15" s="19">
        <v>198.74</v>
      </c>
      <c r="G15" s="20">
        <v>1278755</v>
      </c>
    </row>
    <row r="16" spans="2:7" ht="16.5" customHeight="1" x14ac:dyDescent="0.3">
      <c r="B16" s="21" t="s">
        <v>159</v>
      </c>
      <c r="C16" s="22">
        <v>199.13</v>
      </c>
      <c r="D16" s="22">
        <v>200.29</v>
      </c>
      <c r="E16" s="22">
        <v>198.63</v>
      </c>
      <c r="F16" s="22">
        <v>199.91</v>
      </c>
      <c r="G16" s="23">
        <v>899136</v>
      </c>
    </row>
    <row r="17" spans="2:7" ht="16.5" customHeight="1" x14ac:dyDescent="0.3">
      <c r="B17" s="18" t="s">
        <v>160</v>
      </c>
      <c r="C17" s="19">
        <v>200.21</v>
      </c>
      <c r="D17" s="19">
        <v>200.41</v>
      </c>
      <c r="E17" s="19">
        <v>197.49</v>
      </c>
      <c r="F17" s="19">
        <v>199.35</v>
      </c>
      <c r="G17" s="20">
        <v>870598</v>
      </c>
    </row>
    <row r="18" spans="2:7" ht="16.5" customHeight="1" x14ac:dyDescent="0.3">
      <c r="B18" s="21" t="s">
        <v>161</v>
      </c>
      <c r="C18" s="22">
        <v>199.81</v>
      </c>
      <c r="D18" s="22">
        <v>200.95</v>
      </c>
      <c r="E18" s="22">
        <v>197.29</v>
      </c>
      <c r="F18" s="22">
        <v>197.69</v>
      </c>
      <c r="G18" s="23">
        <v>1334028</v>
      </c>
    </row>
    <row r="19" spans="2:7" ht="16.5" customHeight="1" x14ac:dyDescent="0.3">
      <c r="B19" s="18" t="s">
        <v>162</v>
      </c>
      <c r="C19" s="19">
        <v>197.63</v>
      </c>
      <c r="D19" s="19">
        <v>201.67</v>
      </c>
      <c r="E19" s="19">
        <v>197.21</v>
      </c>
      <c r="F19" s="19">
        <v>200.53</v>
      </c>
      <c r="G19" s="20">
        <v>1366810</v>
      </c>
    </row>
    <row r="20" spans="2:7" ht="16.5" customHeight="1" x14ac:dyDescent="0.3">
      <c r="B20" s="21" t="s">
        <v>163</v>
      </c>
      <c r="C20" s="22">
        <v>200.55</v>
      </c>
      <c r="D20" s="22">
        <v>200.75</v>
      </c>
      <c r="E20" s="22">
        <v>197.48</v>
      </c>
      <c r="F20" s="22">
        <v>197.73</v>
      </c>
      <c r="G20" s="23">
        <v>1302616</v>
      </c>
    </row>
    <row r="21" spans="2:7" ht="16.5" customHeight="1" x14ac:dyDescent="0.3">
      <c r="B21" s="18" t="s">
        <v>164</v>
      </c>
      <c r="C21" s="19">
        <v>199.11</v>
      </c>
      <c r="D21" s="19">
        <v>200.85</v>
      </c>
      <c r="E21" s="19">
        <v>198.62</v>
      </c>
      <c r="F21" s="19">
        <v>200.35</v>
      </c>
      <c r="G21" s="20">
        <v>942696</v>
      </c>
    </row>
    <row r="22" spans="2:7" ht="16.5" customHeight="1" x14ac:dyDescent="0.3">
      <c r="B22" s="21" t="s">
        <v>165</v>
      </c>
      <c r="C22" s="22">
        <v>200.92</v>
      </c>
      <c r="D22" s="22">
        <v>201.38</v>
      </c>
      <c r="E22" s="22">
        <v>199.27</v>
      </c>
      <c r="F22" s="22">
        <v>199.33</v>
      </c>
      <c r="G22" s="23">
        <v>1309804</v>
      </c>
    </row>
    <row r="23" spans="2:7" ht="16.5" customHeight="1" x14ac:dyDescent="0.3">
      <c r="B23" s="18" t="s">
        <v>166</v>
      </c>
      <c r="C23" s="19">
        <v>199.15</v>
      </c>
      <c r="D23" s="19">
        <v>200.62</v>
      </c>
      <c r="E23" s="19">
        <v>196.93</v>
      </c>
      <c r="F23" s="19">
        <v>197.79</v>
      </c>
      <c r="G23" s="20">
        <v>941033</v>
      </c>
    </row>
    <row r="24" spans="2:7" ht="16.5" customHeight="1" x14ac:dyDescent="0.3">
      <c r="B24" s="21" t="s">
        <v>167</v>
      </c>
      <c r="C24" s="22">
        <v>198.5</v>
      </c>
      <c r="D24" s="22">
        <v>199.41</v>
      </c>
      <c r="E24" s="22">
        <v>198.29</v>
      </c>
      <c r="F24" s="22">
        <v>199.4</v>
      </c>
      <c r="G24" s="23">
        <v>1147031</v>
      </c>
    </row>
    <row r="25" spans="2:7" ht="16.5" customHeight="1" x14ac:dyDescent="0.3">
      <c r="B25" s="18" t="s">
        <v>168</v>
      </c>
      <c r="C25" s="19">
        <v>199.93</v>
      </c>
      <c r="D25" s="19">
        <v>202.4</v>
      </c>
      <c r="E25" s="19">
        <v>199.12</v>
      </c>
      <c r="F25" s="19">
        <v>202.18</v>
      </c>
      <c r="G25" s="20">
        <v>1352947</v>
      </c>
    </row>
    <row r="26" spans="2:7" ht="16.5" customHeight="1" x14ac:dyDescent="0.3">
      <c r="B26" s="21" t="s">
        <v>169</v>
      </c>
      <c r="C26" s="22">
        <v>202.92</v>
      </c>
      <c r="D26" s="22">
        <v>203.79</v>
      </c>
      <c r="E26" s="22">
        <v>201.33</v>
      </c>
      <c r="F26" s="22">
        <v>203.77</v>
      </c>
      <c r="G26" s="23">
        <v>999514</v>
      </c>
    </row>
    <row r="27" spans="2:7" ht="16.5" customHeight="1" x14ac:dyDescent="0.3">
      <c r="B27" s="18" t="s">
        <v>170</v>
      </c>
      <c r="C27" s="19">
        <v>203.84</v>
      </c>
      <c r="D27" s="19">
        <v>207.6</v>
      </c>
      <c r="E27" s="19">
        <v>202.92</v>
      </c>
      <c r="F27" s="19">
        <v>207.17</v>
      </c>
      <c r="G27" s="20">
        <v>1057711</v>
      </c>
    </row>
    <row r="28" spans="2:7" ht="16.5" customHeight="1" x14ac:dyDescent="0.3">
      <c r="B28" s="21" t="s">
        <v>171</v>
      </c>
      <c r="C28" s="22">
        <v>207.68</v>
      </c>
      <c r="D28" s="22">
        <v>211.3</v>
      </c>
      <c r="E28" s="22">
        <v>205.71</v>
      </c>
      <c r="F28" s="22">
        <v>210.72</v>
      </c>
      <c r="G28" s="23">
        <v>1299069</v>
      </c>
    </row>
    <row r="29" spans="2:7" ht="16.5" customHeight="1" x14ac:dyDescent="0.3">
      <c r="B29" s="18" t="s">
        <v>172</v>
      </c>
      <c r="C29" s="19">
        <v>210.37</v>
      </c>
      <c r="D29" s="19">
        <v>212.15</v>
      </c>
      <c r="E29" s="19">
        <v>210.37</v>
      </c>
      <c r="F29" s="19">
        <v>211.62</v>
      </c>
      <c r="G29" s="20">
        <v>1582965</v>
      </c>
    </row>
    <row r="30" spans="2:7" ht="16.5" customHeight="1" x14ac:dyDescent="0.3">
      <c r="B30" s="21" t="s">
        <v>173</v>
      </c>
      <c r="C30" s="22">
        <v>211.35</v>
      </c>
      <c r="D30" s="22">
        <v>212.5</v>
      </c>
      <c r="E30" s="22">
        <v>208.83</v>
      </c>
      <c r="F30" s="22">
        <v>209.2</v>
      </c>
      <c r="G30" s="23">
        <v>998009</v>
      </c>
    </row>
    <row r="31" spans="2:7" ht="16.5" customHeight="1" x14ac:dyDescent="0.3">
      <c r="B31" s="18" t="s">
        <v>174</v>
      </c>
      <c r="C31" s="19">
        <v>208.42</v>
      </c>
      <c r="D31" s="19">
        <v>208.89</v>
      </c>
      <c r="E31" s="19">
        <v>207.41</v>
      </c>
      <c r="F31" s="19">
        <v>208.71</v>
      </c>
      <c r="G31" s="20">
        <v>1347855</v>
      </c>
    </row>
    <row r="32" spans="2:7" ht="16.5" customHeight="1" x14ac:dyDescent="0.3">
      <c r="B32" s="21" t="s">
        <v>175</v>
      </c>
      <c r="C32" s="22">
        <v>210.14</v>
      </c>
      <c r="D32" s="22">
        <v>210.47</v>
      </c>
      <c r="E32" s="22">
        <v>208.99</v>
      </c>
      <c r="F32" s="22">
        <v>210.23</v>
      </c>
      <c r="G32" s="23">
        <v>735086</v>
      </c>
    </row>
    <row r="33" spans="2:7" ht="16.5" customHeight="1" x14ac:dyDescent="0.3">
      <c r="B33" s="18" t="s">
        <v>176</v>
      </c>
      <c r="C33" s="19">
        <v>210.43</v>
      </c>
      <c r="D33" s="19">
        <v>211.9</v>
      </c>
      <c r="E33" s="19">
        <v>208.85</v>
      </c>
      <c r="F33" s="19">
        <v>210.26</v>
      </c>
      <c r="G33" s="20">
        <v>1377373</v>
      </c>
    </row>
    <row r="34" spans="2:7" ht="16.5" customHeight="1" x14ac:dyDescent="0.3">
      <c r="B34" s="21" t="s">
        <v>177</v>
      </c>
      <c r="C34" s="22">
        <v>211.23</v>
      </c>
      <c r="D34" s="22">
        <v>213.17</v>
      </c>
      <c r="E34" s="22">
        <v>211.19</v>
      </c>
      <c r="F34" s="22">
        <v>212.56</v>
      </c>
      <c r="G34" s="23">
        <v>953938</v>
      </c>
    </row>
    <row r="35" spans="2:7" ht="16.5" customHeight="1" x14ac:dyDescent="0.3">
      <c r="B35" s="18" t="s">
        <v>178</v>
      </c>
      <c r="C35" s="19">
        <v>212.68</v>
      </c>
      <c r="D35" s="19">
        <v>212.84</v>
      </c>
      <c r="E35" s="19">
        <v>208.41</v>
      </c>
      <c r="F35" s="19">
        <v>210.11</v>
      </c>
      <c r="G35" s="20">
        <v>928913</v>
      </c>
    </row>
    <row r="36" spans="2:7" ht="16.5" customHeight="1" x14ac:dyDescent="0.3">
      <c r="B36" s="21" t="s">
        <v>179</v>
      </c>
      <c r="C36" s="22">
        <v>209.12</v>
      </c>
      <c r="D36" s="22">
        <v>210.2</v>
      </c>
      <c r="E36" s="22">
        <v>208.9</v>
      </c>
      <c r="F36" s="22">
        <v>209.87</v>
      </c>
      <c r="G36" s="23">
        <v>1330708</v>
      </c>
    </row>
    <row r="37" spans="2:7" ht="16.5" customHeight="1" x14ac:dyDescent="0.3">
      <c r="B37" s="18" t="s">
        <v>180</v>
      </c>
      <c r="C37" s="19">
        <v>209.84</v>
      </c>
      <c r="D37" s="19">
        <v>213.91</v>
      </c>
      <c r="E37" s="19">
        <v>209.46</v>
      </c>
      <c r="F37" s="19">
        <v>212.96</v>
      </c>
      <c r="G37" s="20">
        <v>1244756</v>
      </c>
    </row>
    <row r="38" spans="2:7" ht="16.5" customHeight="1" x14ac:dyDescent="0.3">
      <c r="B38" s="21" t="s">
        <v>181</v>
      </c>
      <c r="C38" s="22">
        <v>212.51</v>
      </c>
      <c r="D38" s="22">
        <v>214.61</v>
      </c>
      <c r="E38" s="22">
        <v>212.44</v>
      </c>
      <c r="F38" s="22">
        <v>213.64</v>
      </c>
      <c r="G38" s="23">
        <v>1295950</v>
      </c>
    </row>
    <row r="39" spans="2:7" ht="16.5" customHeight="1" x14ac:dyDescent="0.3">
      <c r="B39" s="18" t="s">
        <v>182</v>
      </c>
      <c r="C39" s="19">
        <v>214.03</v>
      </c>
      <c r="D39" s="19">
        <v>217.09</v>
      </c>
      <c r="E39" s="19">
        <v>212.19</v>
      </c>
      <c r="F39" s="19">
        <v>216.84</v>
      </c>
      <c r="G39" s="20">
        <v>1168236</v>
      </c>
    </row>
    <row r="40" spans="2:7" ht="16.5" customHeight="1" x14ac:dyDescent="0.3">
      <c r="B40" s="21" t="s">
        <v>183</v>
      </c>
      <c r="C40" s="22">
        <v>216.91</v>
      </c>
      <c r="D40" s="22">
        <v>218.2</v>
      </c>
      <c r="E40" s="22">
        <v>216.25</v>
      </c>
      <c r="F40" s="22">
        <v>216.35</v>
      </c>
      <c r="G40" s="23">
        <v>1245425</v>
      </c>
    </row>
    <row r="41" spans="2:7" ht="16.5" customHeight="1" x14ac:dyDescent="0.3">
      <c r="B41" s="18" t="s">
        <v>184</v>
      </c>
      <c r="C41" s="19">
        <v>216.02</v>
      </c>
      <c r="D41" s="19">
        <v>220.2</v>
      </c>
      <c r="E41" s="19">
        <v>215.76</v>
      </c>
      <c r="F41" s="19">
        <v>218.69</v>
      </c>
      <c r="G41" s="20">
        <v>1164325</v>
      </c>
    </row>
    <row r="42" spans="2:7" ht="16.5" customHeight="1" x14ac:dyDescent="0.3">
      <c r="B42" s="21" t="s">
        <v>185</v>
      </c>
      <c r="C42" s="22">
        <v>219.26</v>
      </c>
      <c r="D42" s="22">
        <v>219.79</v>
      </c>
      <c r="E42" s="22">
        <v>217.14</v>
      </c>
      <c r="F42" s="22">
        <v>218.01</v>
      </c>
      <c r="G42" s="23">
        <v>1245101</v>
      </c>
    </row>
    <row r="43" spans="2:7" ht="16.5" customHeight="1" x14ac:dyDescent="0.3">
      <c r="B43" s="18" t="s">
        <v>186</v>
      </c>
      <c r="C43" s="19">
        <v>217.04</v>
      </c>
      <c r="D43" s="19">
        <v>217.43</v>
      </c>
      <c r="E43" s="19">
        <v>216.66</v>
      </c>
      <c r="F43" s="19">
        <v>216.7</v>
      </c>
      <c r="G43" s="20">
        <v>891320</v>
      </c>
    </row>
    <row r="44" spans="2:7" ht="16.5" customHeight="1" x14ac:dyDescent="0.3">
      <c r="B44" s="21" t="s">
        <v>187</v>
      </c>
      <c r="C44" s="22">
        <v>217.02</v>
      </c>
      <c r="D44" s="22">
        <v>218.74</v>
      </c>
      <c r="E44" s="22">
        <v>216.67</v>
      </c>
      <c r="F44" s="22">
        <v>218.24</v>
      </c>
      <c r="G44" s="23">
        <v>1384218</v>
      </c>
    </row>
    <row r="45" spans="2:7" ht="16.5" customHeight="1" x14ac:dyDescent="0.3">
      <c r="B45" s="18" t="s">
        <v>188</v>
      </c>
      <c r="C45" s="19">
        <v>218.49</v>
      </c>
      <c r="D45" s="19">
        <v>218.49</v>
      </c>
      <c r="E45" s="19">
        <v>215.05</v>
      </c>
      <c r="F45" s="19">
        <v>217.02</v>
      </c>
      <c r="G45" s="20">
        <v>578555</v>
      </c>
    </row>
    <row r="46" spans="2:7" ht="16.5" customHeight="1" x14ac:dyDescent="0.3">
      <c r="B46" s="21" t="s">
        <v>189</v>
      </c>
      <c r="C46" s="22">
        <v>216.82</v>
      </c>
      <c r="D46" s="22">
        <v>218.5</v>
      </c>
      <c r="E46" s="22">
        <v>215.17</v>
      </c>
      <c r="F46" s="22">
        <v>218.41</v>
      </c>
      <c r="G46" s="23">
        <v>1097599</v>
      </c>
    </row>
    <row r="47" spans="2:7" ht="16.5" customHeight="1" x14ac:dyDescent="0.3">
      <c r="B47" s="18" t="s">
        <v>190</v>
      </c>
      <c r="C47" s="19">
        <v>218.12</v>
      </c>
      <c r="D47" s="19">
        <v>223.41</v>
      </c>
      <c r="E47" s="19">
        <v>217.69</v>
      </c>
      <c r="F47" s="19">
        <v>223.1</v>
      </c>
      <c r="G47" s="20">
        <v>906607</v>
      </c>
    </row>
    <row r="48" spans="2:7" ht="16.5" customHeight="1" x14ac:dyDescent="0.3">
      <c r="B48" s="21" t="s">
        <v>191</v>
      </c>
      <c r="C48" s="22">
        <v>222.91</v>
      </c>
      <c r="D48" s="22">
        <v>223.32</v>
      </c>
      <c r="E48" s="22">
        <v>221.03</v>
      </c>
      <c r="F48" s="22">
        <v>223.14</v>
      </c>
      <c r="G48" s="23">
        <v>1660690</v>
      </c>
    </row>
    <row r="49" spans="2:7" ht="16.5" customHeight="1" x14ac:dyDescent="0.3">
      <c r="B49" s="18" t="s">
        <v>192</v>
      </c>
      <c r="C49" s="19">
        <v>224.31</v>
      </c>
      <c r="D49" s="19">
        <v>225.21</v>
      </c>
      <c r="E49" s="19">
        <v>223.77</v>
      </c>
      <c r="F49" s="19">
        <v>224.03</v>
      </c>
      <c r="G49" s="20">
        <v>1986183</v>
      </c>
    </row>
    <row r="50" spans="2:7" ht="16.5" customHeight="1" x14ac:dyDescent="0.3">
      <c r="B50" s="21" t="s">
        <v>193</v>
      </c>
      <c r="C50" s="22">
        <v>223.03</v>
      </c>
      <c r="D50" s="22">
        <v>223.52</v>
      </c>
      <c r="E50" s="22">
        <v>220.76</v>
      </c>
      <c r="F50" s="22">
        <v>221.18</v>
      </c>
      <c r="G50" s="23">
        <v>1294135</v>
      </c>
    </row>
    <row r="51" spans="2:7" ht="16.5" customHeight="1" x14ac:dyDescent="0.3">
      <c r="B51" s="18" t="s">
        <v>194</v>
      </c>
      <c r="C51" s="19">
        <v>221.01</v>
      </c>
      <c r="D51" s="19">
        <v>225.39</v>
      </c>
      <c r="E51" s="19">
        <v>220.63</v>
      </c>
      <c r="F51" s="19">
        <v>223.95</v>
      </c>
      <c r="G51" s="20">
        <v>1447262</v>
      </c>
    </row>
    <row r="52" spans="2:7" ht="16.5" customHeight="1" x14ac:dyDescent="0.3">
      <c r="B52" s="21" t="s">
        <v>195</v>
      </c>
      <c r="C52" s="22">
        <v>222.64</v>
      </c>
      <c r="D52" s="22">
        <v>223.8</v>
      </c>
      <c r="E52" s="22">
        <v>221.39</v>
      </c>
      <c r="F52" s="22">
        <v>223.77</v>
      </c>
      <c r="G52" s="23">
        <v>1695433</v>
      </c>
    </row>
    <row r="53" spans="2:7" ht="16.5" customHeight="1" x14ac:dyDescent="0.3">
      <c r="B53" s="18" t="s">
        <v>196</v>
      </c>
      <c r="C53" s="19">
        <v>223.98</v>
      </c>
      <c r="D53" s="19">
        <v>226.45</v>
      </c>
      <c r="E53" s="19">
        <v>223.22</v>
      </c>
      <c r="F53" s="19">
        <v>225.33</v>
      </c>
      <c r="G53" s="20">
        <v>1113136</v>
      </c>
    </row>
    <row r="54" spans="2:7" ht="16.5" customHeight="1" x14ac:dyDescent="0.3">
      <c r="B54" s="21" t="s">
        <v>197</v>
      </c>
      <c r="C54" s="22">
        <v>225.72</v>
      </c>
      <c r="D54" s="22">
        <v>227.38</v>
      </c>
      <c r="E54" s="22">
        <v>224.68</v>
      </c>
      <c r="F54" s="22">
        <v>226.95</v>
      </c>
      <c r="G54" s="23">
        <v>882221</v>
      </c>
    </row>
    <row r="55" spans="2:7" ht="16.5" customHeight="1" x14ac:dyDescent="0.3">
      <c r="B55" s="18" t="s">
        <v>198</v>
      </c>
      <c r="C55" s="19">
        <v>227.39</v>
      </c>
      <c r="D55" s="19">
        <v>229.49</v>
      </c>
      <c r="E55" s="19">
        <v>224.55</v>
      </c>
      <c r="F55" s="19">
        <v>224.85</v>
      </c>
      <c r="G55" s="20">
        <v>1225965</v>
      </c>
    </row>
    <row r="56" spans="2:7" ht="16.5" customHeight="1" x14ac:dyDescent="0.3">
      <c r="B56" s="21" t="s">
        <v>199</v>
      </c>
      <c r="C56" s="22">
        <v>224.9</v>
      </c>
      <c r="D56" s="22">
        <v>229.32</v>
      </c>
      <c r="E56" s="22">
        <v>224.54</v>
      </c>
      <c r="F56" s="22">
        <v>228.41</v>
      </c>
      <c r="G56" s="23">
        <v>891566</v>
      </c>
    </row>
    <row r="57" spans="2:7" ht="16.5" customHeight="1" x14ac:dyDescent="0.3">
      <c r="B57" s="18" t="s">
        <v>200</v>
      </c>
      <c r="C57" s="19">
        <v>229.46</v>
      </c>
      <c r="D57" s="19">
        <v>230.37</v>
      </c>
      <c r="E57" s="19">
        <v>227.56</v>
      </c>
      <c r="F57" s="19">
        <v>228</v>
      </c>
      <c r="G57" s="20">
        <v>2032475</v>
      </c>
    </row>
    <row r="58" spans="2:7" ht="16.5" customHeight="1" x14ac:dyDescent="0.3">
      <c r="B58" s="21" t="s">
        <v>201</v>
      </c>
      <c r="C58" s="22">
        <v>228.42</v>
      </c>
      <c r="D58" s="22">
        <v>228.72</v>
      </c>
      <c r="E58" s="22">
        <v>228.22</v>
      </c>
      <c r="F58" s="22">
        <v>228.44</v>
      </c>
      <c r="G58" s="23">
        <v>1748527</v>
      </c>
    </row>
    <row r="59" spans="2:7" ht="16.5" customHeight="1" x14ac:dyDescent="0.3">
      <c r="B59" s="18" t="s">
        <v>202</v>
      </c>
      <c r="C59" s="19">
        <v>227.48</v>
      </c>
      <c r="D59" s="19">
        <v>231.37</v>
      </c>
      <c r="E59" s="19">
        <v>227.09</v>
      </c>
      <c r="F59" s="19">
        <v>231</v>
      </c>
      <c r="G59" s="20">
        <v>1319291</v>
      </c>
    </row>
    <row r="60" spans="2:7" ht="16.5" customHeight="1" x14ac:dyDescent="0.3">
      <c r="B60" s="21" t="s">
        <v>203</v>
      </c>
      <c r="C60" s="22">
        <v>229.44</v>
      </c>
      <c r="D60" s="22">
        <v>231.19</v>
      </c>
      <c r="E60" s="22">
        <v>226.38</v>
      </c>
      <c r="F60" s="22">
        <v>226.44</v>
      </c>
      <c r="G60" s="23">
        <v>1071103</v>
      </c>
    </row>
    <row r="61" spans="2:7" ht="16.5" customHeight="1" x14ac:dyDescent="0.3">
      <c r="B61" s="18" t="s">
        <v>204</v>
      </c>
      <c r="C61" s="19">
        <v>225.92</v>
      </c>
      <c r="D61" s="19">
        <v>227.9</v>
      </c>
      <c r="E61" s="19">
        <v>224.09</v>
      </c>
      <c r="F61" s="19">
        <v>226.79</v>
      </c>
      <c r="G61" s="20">
        <v>1192172</v>
      </c>
    </row>
    <row r="62" spans="2:7" ht="16.5" customHeight="1" x14ac:dyDescent="0.3">
      <c r="B62" s="21" t="s">
        <v>205</v>
      </c>
      <c r="C62" s="22">
        <v>227.47</v>
      </c>
      <c r="D62" s="22">
        <v>229.12</v>
      </c>
      <c r="E62" s="22">
        <v>227.3</v>
      </c>
      <c r="F62" s="22">
        <v>228.4</v>
      </c>
      <c r="G62" s="23">
        <v>1477793</v>
      </c>
    </row>
    <row r="63" spans="2:7" ht="16.5" customHeight="1" x14ac:dyDescent="0.3">
      <c r="B63" s="18" t="s">
        <v>206</v>
      </c>
      <c r="C63" s="19">
        <v>227.95</v>
      </c>
      <c r="D63" s="19">
        <v>228.42</v>
      </c>
      <c r="E63" s="19">
        <v>227.2</v>
      </c>
      <c r="F63" s="19">
        <v>227.73</v>
      </c>
      <c r="G63" s="20">
        <v>493593</v>
      </c>
    </row>
    <row r="64" spans="2:7" ht="16.5" customHeight="1" x14ac:dyDescent="0.3">
      <c r="B64" s="21" t="s">
        <v>207</v>
      </c>
      <c r="C64" s="22">
        <v>227.9</v>
      </c>
      <c r="D64" s="22">
        <v>228.68</v>
      </c>
      <c r="E64" s="22">
        <v>227.25</v>
      </c>
      <c r="F64" s="22">
        <v>228.35</v>
      </c>
      <c r="G64" s="23">
        <v>1204105</v>
      </c>
    </row>
    <row r="65" spans="2:7" ht="16.5" customHeight="1" x14ac:dyDescent="0.3">
      <c r="B65" s="18" t="s">
        <v>208</v>
      </c>
      <c r="C65" s="19">
        <v>228.38</v>
      </c>
      <c r="D65" s="19">
        <v>232.86</v>
      </c>
      <c r="E65" s="19">
        <v>227.84</v>
      </c>
      <c r="F65" s="19">
        <v>232.39</v>
      </c>
      <c r="G65" s="20">
        <v>1080468</v>
      </c>
    </row>
    <row r="66" spans="2:7" ht="16.5" customHeight="1" x14ac:dyDescent="0.3">
      <c r="B66" s="21" t="s">
        <v>209</v>
      </c>
      <c r="C66" s="22">
        <v>232.3</v>
      </c>
      <c r="D66" s="22">
        <v>232.36</v>
      </c>
      <c r="E66" s="22">
        <v>227.76</v>
      </c>
      <c r="F66" s="22">
        <v>229.45</v>
      </c>
      <c r="G66" s="23">
        <v>1364172</v>
      </c>
    </row>
    <row r="67" spans="2:7" ht="16.5" customHeight="1" x14ac:dyDescent="0.3">
      <c r="B67" s="18" t="s">
        <v>210</v>
      </c>
      <c r="C67" s="19">
        <v>228.96</v>
      </c>
      <c r="D67" s="19">
        <v>232.04</v>
      </c>
      <c r="E67" s="19">
        <v>227.92</v>
      </c>
      <c r="F67" s="19">
        <v>231.42</v>
      </c>
      <c r="G67" s="20">
        <v>1187348</v>
      </c>
    </row>
    <row r="68" spans="2:7" ht="16.5" customHeight="1" x14ac:dyDescent="0.3">
      <c r="B68" s="21" t="s">
        <v>211</v>
      </c>
      <c r="C68" s="22">
        <v>230.89</v>
      </c>
      <c r="D68" s="22">
        <v>233.81</v>
      </c>
      <c r="E68" s="22">
        <v>230.37</v>
      </c>
      <c r="F68" s="22">
        <v>231.95</v>
      </c>
      <c r="G68" s="23">
        <v>567236</v>
      </c>
    </row>
    <row r="69" spans="2:7" ht="16.5" customHeight="1" x14ac:dyDescent="0.3">
      <c r="B69" s="18" t="s">
        <v>212</v>
      </c>
      <c r="C69" s="19">
        <v>231.67</v>
      </c>
      <c r="D69" s="19">
        <v>233.04</v>
      </c>
      <c r="E69" s="19">
        <v>231.24</v>
      </c>
      <c r="F69" s="19">
        <v>233.04</v>
      </c>
      <c r="G69" s="20">
        <v>1209349</v>
      </c>
    </row>
    <row r="70" spans="2:7" ht="16.5" customHeight="1" x14ac:dyDescent="0.3">
      <c r="B70" s="21" t="s">
        <v>213</v>
      </c>
      <c r="C70" s="22">
        <v>232.23</v>
      </c>
      <c r="D70" s="22">
        <v>232.95</v>
      </c>
      <c r="E70" s="22">
        <v>226.41</v>
      </c>
      <c r="F70" s="22">
        <v>227.59</v>
      </c>
      <c r="G70" s="23">
        <v>1632882</v>
      </c>
    </row>
    <row r="71" spans="2:7" ht="16.5" customHeight="1" x14ac:dyDescent="0.3">
      <c r="B71" s="18" t="s">
        <v>214</v>
      </c>
      <c r="C71" s="19">
        <v>226.19</v>
      </c>
      <c r="D71" s="19">
        <v>231.07</v>
      </c>
      <c r="E71" s="19">
        <v>224.46</v>
      </c>
      <c r="F71" s="19">
        <v>230.36</v>
      </c>
      <c r="G71" s="20">
        <v>1551808</v>
      </c>
    </row>
    <row r="72" spans="2:7" ht="16.5" customHeight="1" x14ac:dyDescent="0.3">
      <c r="B72" s="21" t="s">
        <v>215</v>
      </c>
      <c r="C72" s="22">
        <v>229.57</v>
      </c>
      <c r="D72" s="22">
        <v>232.09</v>
      </c>
      <c r="E72" s="22">
        <v>228.98</v>
      </c>
      <c r="F72" s="22">
        <v>230.24</v>
      </c>
      <c r="G72" s="23">
        <v>570478</v>
      </c>
    </row>
    <row r="73" spans="2:7" ht="16.5" customHeight="1" x14ac:dyDescent="0.3">
      <c r="B73" s="18" t="s">
        <v>216</v>
      </c>
      <c r="C73" s="19">
        <v>229.73</v>
      </c>
      <c r="D73" s="19">
        <v>230.6</v>
      </c>
      <c r="E73" s="19">
        <v>229.3</v>
      </c>
      <c r="F73" s="19">
        <v>230.5</v>
      </c>
      <c r="G73" s="20">
        <v>1484578</v>
      </c>
    </row>
    <row r="74" spans="2:7" ht="16.5" customHeight="1" x14ac:dyDescent="0.3">
      <c r="B74" s="21" t="s">
        <v>217</v>
      </c>
      <c r="C74" s="22">
        <v>230.72</v>
      </c>
      <c r="D74" s="22">
        <v>232.39</v>
      </c>
      <c r="E74" s="22">
        <v>226.78</v>
      </c>
      <c r="F74" s="22">
        <v>227.53</v>
      </c>
      <c r="G74" s="23">
        <v>1158981</v>
      </c>
    </row>
    <row r="75" spans="2:7" ht="16.5" customHeight="1" x14ac:dyDescent="0.3">
      <c r="B75" s="18" t="s">
        <v>218</v>
      </c>
      <c r="C75" s="19">
        <v>227.06</v>
      </c>
      <c r="D75" s="19">
        <v>228.2</v>
      </c>
      <c r="E75" s="19">
        <v>226.97</v>
      </c>
      <c r="F75" s="19">
        <v>227.61</v>
      </c>
      <c r="G75" s="20">
        <v>835745</v>
      </c>
    </row>
    <row r="76" spans="2:7" ht="16.5" customHeight="1" x14ac:dyDescent="0.3">
      <c r="B76" s="21" t="s">
        <v>219</v>
      </c>
      <c r="C76" s="22">
        <v>228.15</v>
      </c>
      <c r="D76" s="22">
        <v>232.42</v>
      </c>
      <c r="E76" s="22">
        <v>227.57</v>
      </c>
      <c r="F76" s="22">
        <v>232.26</v>
      </c>
      <c r="G76" s="23">
        <v>880378</v>
      </c>
    </row>
    <row r="77" spans="2:7" ht="16.5" customHeight="1" x14ac:dyDescent="0.3">
      <c r="B77" s="18" t="s">
        <v>220</v>
      </c>
      <c r="C77" s="19">
        <v>232.16</v>
      </c>
      <c r="D77" s="19">
        <v>235.54</v>
      </c>
      <c r="E77" s="19">
        <v>231.99</v>
      </c>
      <c r="F77" s="19">
        <v>235.11</v>
      </c>
      <c r="G77" s="20">
        <v>1272594</v>
      </c>
    </row>
    <row r="78" spans="2:7" ht="16.5" customHeight="1" x14ac:dyDescent="0.3">
      <c r="B78" s="21" t="s">
        <v>221</v>
      </c>
      <c r="C78" s="22">
        <v>235.65</v>
      </c>
      <c r="D78" s="22">
        <v>235.82</v>
      </c>
      <c r="E78" s="22">
        <v>234.69</v>
      </c>
      <c r="F78" s="22">
        <v>235.47</v>
      </c>
      <c r="G78" s="23">
        <v>1288267</v>
      </c>
    </row>
    <row r="79" spans="2:7" ht="16.5" customHeight="1" x14ac:dyDescent="0.3">
      <c r="B79" s="18" t="s">
        <v>222</v>
      </c>
      <c r="C79" s="19">
        <v>234.86</v>
      </c>
      <c r="D79" s="19">
        <v>235.74</v>
      </c>
      <c r="E79" s="19">
        <v>233.98</v>
      </c>
      <c r="F79" s="19">
        <v>234.68</v>
      </c>
      <c r="G79" s="20">
        <v>824343</v>
      </c>
    </row>
    <row r="80" spans="2:7" ht="16.5" customHeight="1" x14ac:dyDescent="0.3">
      <c r="B80" s="21" t="s">
        <v>223</v>
      </c>
      <c r="C80" s="22">
        <v>234.65</v>
      </c>
      <c r="D80" s="22">
        <v>238.27</v>
      </c>
      <c r="E80" s="22">
        <v>232.51</v>
      </c>
      <c r="F80" s="22">
        <v>236.78</v>
      </c>
      <c r="G80" s="23">
        <v>1106782</v>
      </c>
    </row>
    <row r="81" spans="2:7" ht="16.5" customHeight="1" x14ac:dyDescent="0.3">
      <c r="B81" s="18" t="s">
        <v>224</v>
      </c>
      <c r="C81" s="19">
        <v>236.51</v>
      </c>
      <c r="D81" s="19">
        <v>236.58</v>
      </c>
      <c r="E81" s="19">
        <v>231.55</v>
      </c>
      <c r="F81" s="19">
        <v>232.94</v>
      </c>
      <c r="G81" s="20">
        <v>1029861</v>
      </c>
    </row>
    <row r="82" spans="2:7" ht="16.5" customHeight="1" x14ac:dyDescent="0.3">
      <c r="B82" s="21" t="s">
        <v>225</v>
      </c>
      <c r="C82" s="22">
        <v>232.62</v>
      </c>
      <c r="D82" s="22">
        <v>234.1</v>
      </c>
      <c r="E82" s="22">
        <v>231.91</v>
      </c>
      <c r="F82" s="22">
        <v>233.38</v>
      </c>
      <c r="G82" s="23">
        <v>1600271</v>
      </c>
    </row>
    <row r="83" spans="2:7" ht="16.5" customHeight="1" x14ac:dyDescent="0.3">
      <c r="B83" s="18" t="s">
        <v>226</v>
      </c>
      <c r="C83" s="19">
        <v>232.8</v>
      </c>
      <c r="D83" s="19">
        <v>233.15</v>
      </c>
      <c r="E83" s="19">
        <v>231.63</v>
      </c>
      <c r="F83" s="19">
        <v>232.52</v>
      </c>
      <c r="G83" s="20">
        <v>908287</v>
      </c>
    </row>
    <row r="84" spans="2:7" ht="16.5" customHeight="1" x14ac:dyDescent="0.3">
      <c r="B84" s="21" t="s">
        <v>227</v>
      </c>
      <c r="C84" s="22">
        <v>233.03</v>
      </c>
      <c r="D84" s="22">
        <v>234.95</v>
      </c>
      <c r="E84" s="22">
        <v>231.73</v>
      </c>
      <c r="F84" s="22">
        <v>234.25</v>
      </c>
      <c r="G84" s="23">
        <v>945865</v>
      </c>
    </row>
    <row r="85" spans="2:7" ht="16.5" customHeight="1" x14ac:dyDescent="0.3">
      <c r="B85" s="18" t="s">
        <v>228</v>
      </c>
      <c r="C85" s="19">
        <v>233.69</v>
      </c>
      <c r="D85" s="19">
        <v>236.81</v>
      </c>
      <c r="E85" s="19">
        <v>232.57</v>
      </c>
      <c r="F85" s="19">
        <v>236.43</v>
      </c>
      <c r="G85" s="20">
        <v>1330265</v>
      </c>
    </row>
    <row r="86" spans="2:7" ht="16.5" customHeight="1" x14ac:dyDescent="0.3">
      <c r="B86" s="21" t="s">
        <v>229</v>
      </c>
      <c r="C86" s="22">
        <v>235.58</v>
      </c>
      <c r="D86" s="22">
        <v>236.21</v>
      </c>
      <c r="E86" s="22">
        <v>234.99</v>
      </c>
      <c r="F86" s="22">
        <v>235.68</v>
      </c>
      <c r="G86" s="23">
        <v>841312</v>
      </c>
    </row>
    <row r="87" spans="2:7" ht="16.5" customHeight="1" x14ac:dyDescent="0.3">
      <c r="B87" s="18" t="s">
        <v>230</v>
      </c>
      <c r="C87" s="19">
        <v>235.85</v>
      </c>
      <c r="D87" s="19">
        <v>237.85</v>
      </c>
      <c r="E87" s="19">
        <v>234.08</v>
      </c>
      <c r="F87" s="19">
        <v>234.42</v>
      </c>
      <c r="G87" s="20">
        <v>1148694</v>
      </c>
    </row>
    <row r="88" spans="2:7" ht="16.5" customHeight="1" x14ac:dyDescent="0.3">
      <c r="B88" s="21" t="s">
        <v>231</v>
      </c>
      <c r="C88" s="22">
        <v>235.15</v>
      </c>
      <c r="D88" s="22">
        <v>235.73</v>
      </c>
      <c r="E88" s="22">
        <v>233.3</v>
      </c>
      <c r="F88" s="22">
        <v>233.87</v>
      </c>
      <c r="G88" s="23">
        <v>912395</v>
      </c>
    </row>
    <row r="89" spans="2:7" ht="16.5" customHeight="1" x14ac:dyDescent="0.3">
      <c r="B89" s="18" t="s">
        <v>232</v>
      </c>
      <c r="C89" s="19">
        <v>232.81</v>
      </c>
      <c r="D89" s="19">
        <v>234.83</v>
      </c>
      <c r="E89" s="19">
        <v>232.22</v>
      </c>
      <c r="F89" s="19">
        <v>234.52</v>
      </c>
      <c r="G89" s="20">
        <v>1119565</v>
      </c>
    </row>
    <row r="90" spans="2:7" ht="16.5" customHeight="1" x14ac:dyDescent="0.3">
      <c r="B90" s="21" t="s">
        <v>233</v>
      </c>
      <c r="C90" s="22">
        <v>234.55</v>
      </c>
      <c r="D90" s="22">
        <v>236.21</v>
      </c>
      <c r="E90" s="22">
        <v>234.34</v>
      </c>
      <c r="F90" s="22">
        <v>235.14</v>
      </c>
      <c r="G90" s="23">
        <v>1011802</v>
      </c>
    </row>
    <row r="91" spans="2:7" ht="16.5" customHeight="1" x14ac:dyDescent="0.3">
      <c r="B91" s="18" t="s">
        <v>234</v>
      </c>
      <c r="C91" s="19">
        <v>235.65</v>
      </c>
      <c r="D91" s="19">
        <v>236.15</v>
      </c>
      <c r="E91" s="19">
        <v>231.54</v>
      </c>
      <c r="F91" s="19">
        <v>232.89</v>
      </c>
      <c r="G91" s="20">
        <v>890712</v>
      </c>
    </row>
    <row r="92" spans="2:7" ht="16.5" customHeight="1" x14ac:dyDescent="0.3">
      <c r="B92" s="21" t="s">
        <v>235</v>
      </c>
      <c r="C92" s="22">
        <v>232.85</v>
      </c>
      <c r="D92" s="22">
        <v>233.08</v>
      </c>
      <c r="E92" s="22">
        <v>232.84</v>
      </c>
      <c r="F92" s="22">
        <v>233</v>
      </c>
      <c r="G92" s="23">
        <v>619928</v>
      </c>
    </row>
    <row r="93" spans="2:7" ht="16.5" customHeight="1" x14ac:dyDescent="0.3">
      <c r="B93" s="18" t="s">
        <v>236</v>
      </c>
      <c r="C93" s="19">
        <v>233.46</v>
      </c>
      <c r="D93" s="19">
        <v>236.54</v>
      </c>
      <c r="E93" s="19">
        <v>231.36</v>
      </c>
      <c r="F93" s="19">
        <v>235.48</v>
      </c>
      <c r="G93" s="20">
        <v>1010689</v>
      </c>
    </row>
    <row r="94" spans="2:7" ht="16.5" customHeight="1" x14ac:dyDescent="0.3">
      <c r="B94" s="21" t="s">
        <v>237</v>
      </c>
      <c r="C94" s="22">
        <v>235.49</v>
      </c>
      <c r="D94" s="22">
        <v>237.33</v>
      </c>
      <c r="E94" s="22">
        <v>233.86</v>
      </c>
      <c r="F94" s="22">
        <v>235.5</v>
      </c>
      <c r="G94" s="23">
        <v>1236015</v>
      </c>
    </row>
    <row r="95" spans="2:7" ht="16.5" customHeight="1" x14ac:dyDescent="0.3">
      <c r="B95" s="18" t="s">
        <v>238</v>
      </c>
      <c r="C95" s="19">
        <v>233.68</v>
      </c>
      <c r="D95" s="19">
        <v>235.57</v>
      </c>
      <c r="E95" s="19">
        <v>229.07</v>
      </c>
      <c r="F95" s="19">
        <v>230.34</v>
      </c>
      <c r="G95" s="20">
        <v>1399327</v>
      </c>
    </row>
    <row r="96" spans="2:7" ht="16.5" customHeight="1" x14ac:dyDescent="0.3">
      <c r="B96" s="21" t="s">
        <v>239</v>
      </c>
      <c r="C96" s="22">
        <v>230.18</v>
      </c>
      <c r="D96" s="22">
        <v>231.25</v>
      </c>
      <c r="E96" s="22">
        <v>227.71</v>
      </c>
      <c r="F96" s="22">
        <v>228.27</v>
      </c>
      <c r="G96" s="23">
        <v>791450</v>
      </c>
    </row>
    <row r="97" spans="2:7" ht="16.5" customHeight="1" x14ac:dyDescent="0.3">
      <c r="B97" s="18" t="s">
        <v>240</v>
      </c>
      <c r="C97" s="19">
        <v>227.59</v>
      </c>
      <c r="D97" s="19">
        <v>231.39</v>
      </c>
      <c r="E97" s="19">
        <v>227.48</v>
      </c>
      <c r="F97" s="19">
        <v>230.68</v>
      </c>
      <c r="G97" s="20">
        <v>1106919</v>
      </c>
    </row>
    <row r="98" spans="2:7" ht="16.5" customHeight="1" x14ac:dyDescent="0.3">
      <c r="B98" s="21" t="s">
        <v>241</v>
      </c>
      <c r="C98" s="22">
        <v>230.76</v>
      </c>
      <c r="D98" s="22">
        <v>235.27</v>
      </c>
      <c r="E98" s="22">
        <v>230.24</v>
      </c>
      <c r="F98" s="22">
        <v>234.14</v>
      </c>
      <c r="G98" s="23">
        <v>939620</v>
      </c>
    </row>
    <row r="99" spans="2:7" ht="16.5" customHeight="1" x14ac:dyDescent="0.3">
      <c r="B99" s="18" t="s">
        <v>242</v>
      </c>
      <c r="C99" s="19">
        <v>234.41</v>
      </c>
      <c r="D99" s="19">
        <v>236.31</v>
      </c>
      <c r="E99" s="19">
        <v>233.59</v>
      </c>
      <c r="F99" s="19">
        <v>236.2</v>
      </c>
      <c r="G99" s="20">
        <v>952021</v>
      </c>
    </row>
    <row r="100" spans="2:7" ht="16.5" customHeight="1" x14ac:dyDescent="0.3">
      <c r="B100" s="21" t="s">
        <v>243</v>
      </c>
      <c r="C100" s="22">
        <v>236.33</v>
      </c>
      <c r="D100" s="22">
        <v>237.77</v>
      </c>
      <c r="E100" s="22">
        <v>236.01</v>
      </c>
      <c r="F100" s="22">
        <v>236.1</v>
      </c>
      <c r="G100" s="23">
        <v>1001776</v>
      </c>
    </row>
    <row r="101" spans="2:7" ht="16.5" customHeight="1" x14ac:dyDescent="0.3">
      <c r="B101" s="18" t="s">
        <v>244</v>
      </c>
      <c r="C101" s="19">
        <v>236.59</v>
      </c>
      <c r="D101" s="19">
        <v>237.15</v>
      </c>
      <c r="E101" s="19">
        <v>233.89</v>
      </c>
      <c r="F101" s="19">
        <v>234.21</v>
      </c>
      <c r="G101" s="20">
        <v>567549</v>
      </c>
    </row>
    <row r="102" spans="2:7" ht="16.5" customHeight="1" x14ac:dyDescent="0.3">
      <c r="B102" s="21" t="s">
        <v>245</v>
      </c>
      <c r="C102" s="22">
        <v>233.27</v>
      </c>
      <c r="D102" s="22">
        <v>236.53</v>
      </c>
      <c r="E102" s="22">
        <v>232.28</v>
      </c>
      <c r="F102" s="22">
        <v>235.8</v>
      </c>
      <c r="G102" s="23">
        <v>726348</v>
      </c>
    </row>
    <row r="103" spans="2:7" ht="16.5" customHeight="1" x14ac:dyDescent="0.3">
      <c r="B103" s="18" t="s">
        <v>246</v>
      </c>
      <c r="C103" s="19">
        <v>235.85</v>
      </c>
      <c r="D103" s="19">
        <v>236.79</v>
      </c>
      <c r="E103" s="19">
        <v>234.49</v>
      </c>
      <c r="F103" s="19">
        <v>235.76</v>
      </c>
      <c r="G103" s="20">
        <v>1519657</v>
      </c>
    </row>
    <row r="104" spans="2:7" ht="16.5" customHeight="1" x14ac:dyDescent="0.3">
      <c r="B104" s="21" t="s">
        <v>247</v>
      </c>
      <c r="C104" s="22">
        <v>234.74</v>
      </c>
      <c r="D104" s="22">
        <v>235.5</v>
      </c>
      <c r="E104" s="22">
        <v>229.01</v>
      </c>
      <c r="F104" s="22">
        <v>230.21</v>
      </c>
      <c r="G104" s="23">
        <v>991181</v>
      </c>
    </row>
    <row r="105" spans="2:7" ht="16.5" customHeight="1" x14ac:dyDescent="0.3">
      <c r="B105" s="18" t="s">
        <v>248</v>
      </c>
      <c r="C105" s="19">
        <v>230.69</v>
      </c>
      <c r="D105" s="19">
        <v>231.29</v>
      </c>
      <c r="E105" s="19">
        <v>230.6</v>
      </c>
      <c r="F105" s="19">
        <v>231.08</v>
      </c>
      <c r="G105" s="20">
        <v>882514</v>
      </c>
    </row>
    <row r="106" spans="2:7" ht="16.5" customHeight="1" x14ac:dyDescent="0.3">
      <c r="B106" s="21" t="s">
        <v>249</v>
      </c>
      <c r="C106" s="22">
        <v>230.74</v>
      </c>
      <c r="D106" s="22">
        <v>234.13</v>
      </c>
      <c r="E106" s="22">
        <v>230.27</v>
      </c>
      <c r="F106" s="22">
        <v>233.81</v>
      </c>
      <c r="G106" s="23">
        <v>1129770</v>
      </c>
    </row>
    <row r="107" spans="2:7" ht="16.5" customHeight="1" x14ac:dyDescent="0.3">
      <c r="B107" s="18" t="s">
        <v>250</v>
      </c>
      <c r="C107" s="19">
        <v>233.7</v>
      </c>
      <c r="D107" s="19">
        <v>234.65</v>
      </c>
      <c r="E107" s="19">
        <v>232.66</v>
      </c>
      <c r="F107" s="19">
        <v>233.4</v>
      </c>
      <c r="G107" s="20">
        <v>1495931</v>
      </c>
    </row>
    <row r="108" spans="2:7" ht="16.5" customHeight="1" x14ac:dyDescent="0.3">
      <c r="B108" s="21" t="s">
        <v>251</v>
      </c>
      <c r="C108" s="22">
        <v>233.91</v>
      </c>
      <c r="D108" s="22">
        <v>235.36</v>
      </c>
      <c r="E108" s="22">
        <v>233.04</v>
      </c>
      <c r="F108" s="22">
        <v>234.57</v>
      </c>
      <c r="G108" s="23">
        <v>1184939</v>
      </c>
    </row>
    <row r="109" spans="2:7" ht="16.5" customHeight="1" x14ac:dyDescent="0.3">
      <c r="B109" s="18" t="s">
        <v>252</v>
      </c>
      <c r="C109" s="19">
        <v>235.18</v>
      </c>
      <c r="D109" s="19">
        <v>235.83</v>
      </c>
      <c r="E109" s="19">
        <v>234.26</v>
      </c>
      <c r="F109" s="19">
        <v>235.77</v>
      </c>
      <c r="G109" s="20">
        <v>1106677</v>
      </c>
    </row>
    <row r="110" spans="2:7" ht="16.5" customHeight="1" x14ac:dyDescent="0.3">
      <c r="B110" s="21" t="s">
        <v>253</v>
      </c>
      <c r="C110" s="22">
        <v>235.77</v>
      </c>
      <c r="D110" s="22">
        <v>236.16</v>
      </c>
      <c r="E110" s="22">
        <v>230.27</v>
      </c>
      <c r="F110" s="22">
        <v>231.41</v>
      </c>
      <c r="G110" s="23">
        <v>1142357</v>
      </c>
    </row>
    <row r="111" spans="2:7" ht="16.5" customHeight="1" x14ac:dyDescent="0.3">
      <c r="B111" s="18" t="s">
        <v>254</v>
      </c>
      <c r="C111" s="19">
        <v>231.41</v>
      </c>
      <c r="D111" s="19">
        <v>234.61</v>
      </c>
      <c r="E111" s="19">
        <v>230.1</v>
      </c>
      <c r="F111" s="19">
        <v>233.65</v>
      </c>
      <c r="G111" s="20">
        <v>828474</v>
      </c>
    </row>
    <row r="112" spans="2:7" ht="16.5" customHeight="1" x14ac:dyDescent="0.3">
      <c r="B112" s="21" t="s">
        <v>255</v>
      </c>
      <c r="C112" s="22">
        <v>234.09</v>
      </c>
      <c r="D112" s="22">
        <v>234.28</v>
      </c>
      <c r="E112" s="22">
        <v>230.46</v>
      </c>
      <c r="F112" s="22">
        <v>230.99</v>
      </c>
      <c r="G112" s="23">
        <v>1120560</v>
      </c>
    </row>
    <row r="113" spans="2:7" ht="16.5" customHeight="1" x14ac:dyDescent="0.3">
      <c r="B113" s="18" t="s">
        <v>256</v>
      </c>
      <c r="C113" s="19">
        <v>231.72</v>
      </c>
      <c r="D113" s="19">
        <v>234.83</v>
      </c>
      <c r="E113" s="19">
        <v>231.47</v>
      </c>
      <c r="F113" s="19">
        <v>234.23</v>
      </c>
      <c r="G113" s="20">
        <v>950807</v>
      </c>
    </row>
    <row r="114" spans="2:7" ht="16.5" customHeight="1" x14ac:dyDescent="0.3">
      <c r="B114" s="21" t="s">
        <v>257</v>
      </c>
      <c r="C114" s="22">
        <v>234.7</v>
      </c>
      <c r="D114" s="22">
        <v>235.82</v>
      </c>
      <c r="E114" s="22">
        <v>230.98</v>
      </c>
      <c r="F114" s="22">
        <v>230.99</v>
      </c>
      <c r="G114" s="23">
        <v>961906</v>
      </c>
    </row>
    <row r="115" spans="2:7" ht="16.5" customHeight="1" x14ac:dyDescent="0.3">
      <c r="B115" s="18" t="s">
        <v>258</v>
      </c>
      <c r="C115" s="19">
        <v>229.37</v>
      </c>
      <c r="D115" s="19">
        <v>232.12</v>
      </c>
      <c r="E115" s="19">
        <v>229.24</v>
      </c>
      <c r="F115" s="19">
        <v>231.96</v>
      </c>
      <c r="G115" s="20">
        <v>940160</v>
      </c>
    </row>
    <row r="116" spans="2:7" ht="16.5" customHeight="1" x14ac:dyDescent="0.3">
      <c r="B116" s="21" t="s">
        <v>259</v>
      </c>
      <c r="C116" s="22">
        <v>232.64</v>
      </c>
      <c r="D116" s="22">
        <v>236.22</v>
      </c>
      <c r="E116" s="22">
        <v>232.56</v>
      </c>
      <c r="F116" s="22">
        <v>235.97</v>
      </c>
      <c r="G116" s="23">
        <v>991353</v>
      </c>
    </row>
    <row r="117" spans="2:7" ht="16.5" customHeight="1" x14ac:dyDescent="0.3">
      <c r="B117" s="18" t="s">
        <v>260</v>
      </c>
      <c r="C117" s="19">
        <v>235.04</v>
      </c>
      <c r="D117" s="19">
        <v>236.34</v>
      </c>
      <c r="E117" s="19">
        <v>232.97</v>
      </c>
      <c r="F117" s="19">
        <v>233.93</v>
      </c>
      <c r="G117" s="20">
        <v>1323486</v>
      </c>
    </row>
    <row r="118" spans="2:7" ht="16.5" customHeight="1" x14ac:dyDescent="0.3">
      <c r="B118" s="21" t="s">
        <v>261</v>
      </c>
      <c r="C118" s="22">
        <v>235.39</v>
      </c>
      <c r="D118" s="22">
        <v>237.25</v>
      </c>
      <c r="E118" s="22">
        <v>232.73</v>
      </c>
      <c r="F118" s="22">
        <v>232.91</v>
      </c>
      <c r="G118" s="23">
        <v>846818</v>
      </c>
    </row>
    <row r="119" spans="2:7" ht="16.5" customHeight="1" x14ac:dyDescent="0.3">
      <c r="B119" s="18" t="s">
        <v>262</v>
      </c>
      <c r="C119" s="19">
        <v>233.2</v>
      </c>
      <c r="D119" s="19">
        <v>234.05</v>
      </c>
      <c r="E119" s="19">
        <v>231.24</v>
      </c>
      <c r="F119" s="19">
        <v>231.27</v>
      </c>
      <c r="G119" s="20">
        <v>1404820</v>
      </c>
    </row>
    <row r="120" spans="2:7" ht="16.5" customHeight="1" x14ac:dyDescent="0.3">
      <c r="B120" s="21" t="s">
        <v>263</v>
      </c>
      <c r="C120" s="22">
        <v>232.66</v>
      </c>
      <c r="D120" s="22">
        <v>234.12</v>
      </c>
      <c r="E120" s="22">
        <v>228.12</v>
      </c>
      <c r="F120" s="22">
        <v>229.25</v>
      </c>
      <c r="G120" s="23">
        <v>704180</v>
      </c>
    </row>
    <row r="121" spans="2:7" ht="16.5" customHeight="1" x14ac:dyDescent="0.3">
      <c r="B121" s="18" t="s">
        <v>264</v>
      </c>
      <c r="C121" s="19">
        <v>228.54</v>
      </c>
      <c r="D121" s="19">
        <v>228.78</v>
      </c>
      <c r="E121" s="19">
        <v>225.63</v>
      </c>
      <c r="F121" s="19">
        <v>227.98</v>
      </c>
      <c r="G121" s="20">
        <v>1035963</v>
      </c>
    </row>
    <row r="122" spans="2:7" ht="16.5" customHeight="1" x14ac:dyDescent="0.3">
      <c r="B122" s="21" t="s">
        <v>265</v>
      </c>
      <c r="C122" s="22">
        <v>227.22</v>
      </c>
      <c r="D122" s="22">
        <v>231.66</v>
      </c>
      <c r="E122" s="22">
        <v>225.87</v>
      </c>
      <c r="F122" s="22">
        <v>231.41</v>
      </c>
      <c r="G122" s="23">
        <v>1278706</v>
      </c>
    </row>
    <row r="123" spans="2:7" ht="16.5" customHeight="1" x14ac:dyDescent="0.3">
      <c r="B123" s="18" t="s">
        <v>266</v>
      </c>
      <c r="C123" s="19">
        <v>232.76</v>
      </c>
      <c r="D123" s="19">
        <v>232.95</v>
      </c>
      <c r="E123" s="19">
        <v>231.98</v>
      </c>
      <c r="F123" s="19">
        <v>232.33</v>
      </c>
      <c r="G123" s="20">
        <v>1254076</v>
      </c>
    </row>
    <row r="124" spans="2:7" ht="16.5" customHeight="1" x14ac:dyDescent="0.3">
      <c r="B124" s="21" t="s">
        <v>267</v>
      </c>
      <c r="C124" s="22">
        <v>231.4</v>
      </c>
      <c r="D124" s="22">
        <v>231.68</v>
      </c>
      <c r="E124" s="22">
        <v>230.16</v>
      </c>
      <c r="F124" s="22">
        <v>230.32</v>
      </c>
      <c r="G124" s="23">
        <v>1146568</v>
      </c>
    </row>
    <row r="125" spans="2:7" ht="16.5" customHeight="1" x14ac:dyDescent="0.3">
      <c r="B125" s="18" t="s">
        <v>268</v>
      </c>
      <c r="C125" s="19">
        <v>229.97</v>
      </c>
      <c r="D125" s="19">
        <v>231.32</v>
      </c>
      <c r="E125" s="19">
        <v>228.37</v>
      </c>
      <c r="F125" s="19">
        <v>230.93</v>
      </c>
      <c r="G125" s="20">
        <v>789816</v>
      </c>
    </row>
    <row r="126" spans="2:7" ht="16.5" customHeight="1" x14ac:dyDescent="0.3">
      <c r="B126" s="21" t="s">
        <v>269</v>
      </c>
      <c r="C126" s="22">
        <v>230.76</v>
      </c>
      <c r="D126" s="22">
        <v>235.58</v>
      </c>
      <c r="E126" s="22">
        <v>228.52</v>
      </c>
      <c r="F126" s="22">
        <v>234.86</v>
      </c>
      <c r="G126" s="23">
        <v>1143406</v>
      </c>
    </row>
    <row r="127" spans="2:7" ht="16.5" customHeight="1" x14ac:dyDescent="0.3">
      <c r="B127" s="18" t="s">
        <v>270</v>
      </c>
      <c r="C127" s="19">
        <v>235.44</v>
      </c>
      <c r="D127" s="19">
        <v>240.37</v>
      </c>
      <c r="E127" s="19">
        <v>235.33</v>
      </c>
      <c r="F127" s="19">
        <v>238.76</v>
      </c>
      <c r="G127" s="20">
        <v>952910</v>
      </c>
    </row>
    <row r="128" spans="2:7" ht="16.5" customHeight="1" x14ac:dyDescent="0.3">
      <c r="B128" s="21" t="s">
        <v>271</v>
      </c>
      <c r="C128" s="22">
        <v>237.49</v>
      </c>
      <c r="D128" s="22">
        <v>237.59</v>
      </c>
      <c r="E128" s="22">
        <v>233.85</v>
      </c>
      <c r="F128" s="22">
        <v>234.4</v>
      </c>
      <c r="G128" s="23">
        <v>1209387</v>
      </c>
    </row>
    <row r="129" spans="2:7" ht="16.5" customHeight="1" x14ac:dyDescent="0.3">
      <c r="B129" s="18" t="s">
        <v>272</v>
      </c>
      <c r="C129" s="19">
        <v>233.84</v>
      </c>
      <c r="D129" s="19">
        <v>234.76</v>
      </c>
      <c r="E129" s="19">
        <v>232.7</v>
      </c>
      <c r="F129" s="19">
        <v>233.22</v>
      </c>
      <c r="G129" s="20">
        <v>810744</v>
      </c>
    </row>
    <row r="130" spans="2:7" ht="16.5" customHeight="1" x14ac:dyDescent="0.3">
      <c r="B130" s="21" t="s">
        <v>273</v>
      </c>
      <c r="C130" s="22">
        <v>233.2</v>
      </c>
      <c r="D130" s="22">
        <v>234.04</v>
      </c>
      <c r="E130" s="22">
        <v>232.6</v>
      </c>
      <c r="F130" s="22">
        <v>232.82</v>
      </c>
      <c r="G130" s="23">
        <v>887110</v>
      </c>
    </row>
    <row r="131" spans="2:7" ht="16.5" customHeight="1" x14ac:dyDescent="0.3">
      <c r="B131" s="18" t="s">
        <v>274</v>
      </c>
      <c r="C131" s="19">
        <v>233.17</v>
      </c>
      <c r="D131" s="19">
        <v>233.42</v>
      </c>
      <c r="E131" s="19">
        <v>232.73</v>
      </c>
      <c r="F131" s="19">
        <v>233.25</v>
      </c>
      <c r="G131" s="20">
        <v>637435</v>
      </c>
    </row>
    <row r="132" spans="2:7" ht="16.5" customHeight="1" x14ac:dyDescent="0.3">
      <c r="B132" s="21" t="s">
        <v>275</v>
      </c>
      <c r="C132" s="22">
        <v>233.44</v>
      </c>
      <c r="D132" s="22">
        <v>234.04</v>
      </c>
      <c r="E132" s="22">
        <v>231.16</v>
      </c>
      <c r="F132" s="22">
        <v>232.65</v>
      </c>
      <c r="G132" s="23">
        <v>1144569</v>
      </c>
    </row>
    <row r="133" spans="2:7" ht="16.5" customHeight="1" x14ac:dyDescent="0.3">
      <c r="B133" s="18" t="s">
        <v>276</v>
      </c>
      <c r="C133" s="19">
        <v>232.53</v>
      </c>
      <c r="D133" s="19">
        <v>235.52</v>
      </c>
      <c r="E133" s="19">
        <v>232.11</v>
      </c>
      <c r="F133" s="19">
        <v>235.43</v>
      </c>
      <c r="G133" s="20">
        <v>1169193</v>
      </c>
    </row>
    <row r="134" spans="2:7" ht="16.5" customHeight="1" x14ac:dyDescent="0.3">
      <c r="B134" s="21" t="s">
        <v>277</v>
      </c>
      <c r="C134" s="22">
        <v>235.48</v>
      </c>
      <c r="D134" s="22">
        <v>237.3</v>
      </c>
      <c r="E134" s="22">
        <v>234.74</v>
      </c>
      <c r="F134" s="22">
        <v>237.16</v>
      </c>
      <c r="G134" s="23">
        <v>1052277</v>
      </c>
    </row>
    <row r="135" spans="2:7" ht="16.5" customHeight="1" x14ac:dyDescent="0.3">
      <c r="B135" s="18" t="s">
        <v>278</v>
      </c>
      <c r="C135" s="19">
        <v>237.01</v>
      </c>
      <c r="D135" s="19">
        <v>240.23</v>
      </c>
      <c r="E135" s="19">
        <v>236.54</v>
      </c>
      <c r="F135" s="19">
        <v>240.07</v>
      </c>
      <c r="G135" s="20">
        <v>1320412</v>
      </c>
    </row>
    <row r="136" spans="2:7" ht="16.5" customHeight="1" x14ac:dyDescent="0.3">
      <c r="B136" s="21" t="s">
        <v>279</v>
      </c>
      <c r="C136" s="22">
        <v>240.73</v>
      </c>
      <c r="D136" s="22">
        <v>241.63</v>
      </c>
      <c r="E136" s="22">
        <v>237.76</v>
      </c>
      <c r="F136" s="22">
        <v>238.77</v>
      </c>
      <c r="G136" s="23">
        <v>1157663</v>
      </c>
    </row>
  </sheetData>
  <mergeCells count="3">
    <mergeCell ref="B2:G2"/>
    <mergeCell ref="B4:G4"/>
    <mergeCell ref="B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B1:I135"/>
  <sheetViews>
    <sheetView showGridLines="0" topLeftCell="E1" zoomScaleNormal="100" workbookViewId="0"/>
  </sheetViews>
  <sheetFormatPr defaultColWidth="8.6640625" defaultRowHeight="14.4" x14ac:dyDescent="0.3"/>
  <cols>
    <col min="1" max="1" width="2" customWidth="1"/>
    <col min="2" max="2" width="14" customWidth="1"/>
    <col min="3" max="6" width="13" customWidth="1"/>
    <col min="7" max="7" width="12" customWidth="1"/>
    <col min="8" max="8" width="13" customWidth="1"/>
    <col min="9" max="9" width="32" customWidth="1"/>
  </cols>
  <sheetData>
    <row r="1" spans="2:9" ht="37.5" customHeight="1" x14ac:dyDescent="0.3">
      <c r="B1" s="81" t="s">
        <v>280</v>
      </c>
      <c r="C1" s="68"/>
      <c r="D1" s="68"/>
      <c r="E1" s="68"/>
      <c r="F1" s="68"/>
      <c r="G1" s="68"/>
      <c r="H1" s="68"/>
      <c r="I1" s="68"/>
    </row>
    <row r="2" spans="2:9" ht="24" customHeight="1" x14ac:dyDescent="0.3">
      <c r="B2" s="94" t="s">
        <v>281</v>
      </c>
      <c r="C2" s="68"/>
      <c r="D2" s="68"/>
      <c r="E2" s="68"/>
      <c r="F2" s="68"/>
      <c r="G2" s="68"/>
      <c r="H2" s="68"/>
      <c r="I2" s="68"/>
    </row>
    <row r="3" spans="2:9" ht="7.5" customHeight="1" x14ac:dyDescent="0.3"/>
    <row r="4" spans="2:9" ht="18" customHeight="1" x14ac:dyDescent="0.3">
      <c r="B4" s="17" t="s">
        <v>282</v>
      </c>
      <c r="C4" s="17" t="s">
        <v>283</v>
      </c>
      <c r="D4" s="17" t="s">
        <v>284</v>
      </c>
      <c r="E4" s="17" t="s">
        <v>285</v>
      </c>
      <c r="F4" s="17" t="s">
        <v>286</v>
      </c>
      <c r="G4" s="17" t="s">
        <v>287</v>
      </c>
      <c r="H4" s="17" t="s">
        <v>288</v>
      </c>
      <c r="I4" s="17" t="s">
        <v>289</v>
      </c>
    </row>
    <row r="5" spans="2:9" ht="25.5" customHeight="1" x14ac:dyDescent="0.3">
      <c r="B5" s="24" t="s">
        <v>139</v>
      </c>
      <c r="C5" s="24" t="s">
        <v>143</v>
      </c>
      <c r="D5" s="24" t="s">
        <v>290</v>
      </c>
      <c r="E5" s="24" t="s">
        <v>291</v>
      </c>
      <c r="F5" s="24" t="s">
        <v>292</v>
      </c>
      <c r="G5" s="24" t="s">
        <v>293</v>
      </c>
      <c r="H5" s="24" t="s">
        <v>294</v>
      </c>
      <c r="I5" s="24" t="s">
        <v>295</v>
      </c>
    </row>
    <row r="6" spans="2:9" ht="16.5" customHeight="1" x14ac:dyDescent="0.3">
      <c r="B6" s="21" t="str">
        <f>'📊 RAW DATA'!B7</f>
        <v>2025-10-01</v>
      </c>
      <c r="C6" s="22">
        <f>'📊 RAW DATA'!F7</f>
        <v>199.69</v>
      </c>
      <c r="D6" s="25" t="s">
        <v>296</v>
      </c>
      <c r="E6" s="22" t="str">
        <f>IF(ROW()-5&lt;7,"",AVERAGE(c0:C6))</f>
        <v/>
      </c>
      <c r="F6" s="22"/>
      <c r="G6" s="25" t="str">
        <f t="shared" ref="G6:G37" si="0">IF(OR(E6="",F6=""),"",(E6-F6)/F6)</f>
        <v/>
      </c>
      <c r="H6" s="26" t="str">
        <f t="shared" ref="H6:H37" si="1">IF(OR(E6="",F6=""),"WAIT",IF(E6&gt;F6,"BUY ▲","SELL ▼"))</f>
        <v>WAIT</v>
      </c>
      <c r="I6" s="27" t="str">
        <f t="shared" ref="I6:I37" si="2">IF(H6="WAIT","Need more data (20 days minimum)",IF(H6="BUY ▲","7-Day MA above 20-Day MA — upward momentum — possible good time to buy","7-Day MA below 20-Day MA — downward momentum — possible time to be cautious"))</f>
        <v>Need more data (20 days minimum)</v>
      </c>
    </row>
    <row r="7" spans="2:9" ht="16.5" customHeight="1" x14ac:dyDescent="0.3">
      <c r="B7" s="18" t="str">
        <f>'📊 RAW DATA'!B8</f>
        <v>2025-10-02</v>
      </c>
      <c r="C7" s="19">
        <f>'📊 RAW DATA'!F8</f>
        <v>196.98</v>
      </c>
      <c r="D7" s="28">
        <f t="shared" ref="D7:D38" si="3">IF(C6=0,"",C7/C6-1)</f>
        <v>-1.3571035104411933E-2</v>
      </c>
      <c r="E7" s="19" t="str">
        <f t="shared" ref="E7:E38" si="4">IF(ROW()-5&lt;7,"",AVERAGE(C1:C7))</f>
        <v/>
      </c>
      <c r="F7" s="19"/>
      <c r="G7" s="28" t="str">
        <f t="shared" si="0"/>
        <v/>
      </c>
      <c r="H7" s="29" t="str">
        <f t="shared" si="1"/>
        <v>WAIT</v>
      </c>
      <c r="I7" s="30" t="str">
        <f t="shared" si="2"/>
        <v>Need more data (20 days minimum)</v>
      </c>
    </row>
    <row r="8" spans="2:9" ht="16.5" customHeight="1" x14ac:dyDescent="0.3">
      <c r="B8" s="21" t="str">
        <f>'📊 RAW DATA'!B9</f>
        <v>2025-10-03</v>
      </c>
      <c r="C8" s="22">
        <f>'📊 RAW DATA'!F9</f>
        <v>198.21</v>
      </c>
      <c r="D8" s="25">
        <f t="shared" si="3"/>
        <v>6.2442887602802699E-3</v>
      </c>
      <c r="E8" s="22" t="str">
        <f t="shared" si="4"/>
        <v/>
      </c>
      <c r="F8" s="22"/>
      <c r="G8" s="25" t="str">
        <f t="shared" si="0"/>
        <v/>
      </c>
      <c r="H8" s="26" t="str">
        <f t="shared" si="1"/>
        <v>WAIT</v>
      </c>
      <c r="I8" s="27" t="str">
        <f t="shared" si="2"/>
        <v>Need more data (20 days minimum)</v>
      </c>
    </row>
    <row r="9" spans="2:9" ht="16.5" customHeight="1" x14ac:dyDescent="0.3">
      <c r="B9" s="18" t="str">
        <f>'📊 RAW DATA'!B10</f>
        <v>2025-10-06</v>
      </c>
      <c r="C9" s="19">
        <f>'📊 RAW DATA'!F10</f>
        <v>196.43</v>
      </c>
      <c r="D9" s="28">
        <f t="shared" si="3"/>
        <v>-8.9803743504364153E-3</v>
      </c>
      <c r="E9" s="19" t="str">
        <f t="shared" si="4"/>
        <v/>
      </c>
      <c r="F9" s="19"/>
      <c r="G9" s="28" t="str">
        <f t="shared" si="0"/>
        <v/>
      </c>
      <c r="H9" s="29" t="str">
        <f t="shared" si="1"/>
        <v>WAIT</v>
      </c>
      <c r="I9" s="30" t="str">
        <f t="shared" si="2"/>
        <v>Need more data (20 days minimum)</v>
      </c>
    </row>
    <row r="10" spans="2:9" ht="16.5" customHeight="1" x14ac:dyDescent="0.3">
      <c r="B10" s="21" t="str">
        <f>'📊 RAW DATA'!B11</f>
        <v>2025-10-07</v>
      </c>
      <c r="C10" s="22">
        <f>'📊 RAW DATA'!F11</f>
        <v>196.69</v>
      </c>
      <c r="D10" s="25">
        <f t="shared" si="3"/>
        <v>1.323626737260053E-3</v>
      </c>
      <c r="E10" s="22" t="str">
        <f t="shared" si="4"/>
        <v/>
      </c>
      <c r="F10" s="22"/>
      <c r="G10" s="25" t="str">
        <f t="shared" si="0"/>
        <v/>
      </c>
      <c r="H10" s="26" t="str">
        <f t="shared" si="1"/>
        <v>WAIT</v>
      </c>
      <c r="I10" s="27" t="str">
        <f t="shared" si="2"/>
        <v>Need more data (20 days minimum)</v>
      </c>
    </row>
    <row r="11" spans="2:9" ht="16.5" customHeight="1" x14ac:dyDescent="0.3">
      <c r="B11" s="18" t="str">
        <f>'📊 RAW DATA'!B12</f>
        <v>2025-10-08</v>
      </c>
      <c r="C11" s="19">
        <f>'📊 RAW DATA'!F12</f>
        <v>196.51</v>
      </c>
      <c r="D11" s="28">
        <f t="shared" si="3"/>
        <v>-9.1514566068440217E-4</v>
      </c>
      <c r="E11" s="19" t="str">
        <f t="shared" si="4"/>
        <v/>
      </c>
      <c r="F11" s="19"/>
      <c r="G11" s="28" t="str">
        <f t="shared" si="0"/>
        <v/>
      </c>
      <c r="H11" s="29" t="str">
        <f t="shared" si="1"/>
        <v>WAIT</v>
      </c>
      <c r="I11" s="30" t="str">
        <f t="shared" si="2"/>
        <v>Need more data (20 days minimum)</v>
      </c>
    </row>
    <row r="12" spans="2:9" ht="16.5" customHeight="1" x14ac:dyDescent="0.3">
      <c r="B12" s="21" t="str">
        <f>'📊 RAW DATA'!B13</f>
        <v>2025-10-09</v>
      </c>
      <c r="C12" s="22">
        <f>'📊 RAW DATA'!F13</f>
        <v>196.81</v>
      </c>
      <c r="D12" s="25">
        <f t="shared" si="3"/>
        <v>1.5266398656557101E-3</v>
      </c>
      <c r="E12" s="22">
        <f t="shared" si="4"/>
        <v>197.33142857142857</v>
      </c>
      <c r="F12" s="22"/>
      <c r="G12" s="25" t="str">
        <f t="shared" si="0"/>
        <v/>
      </c>
      <c r="H12" s="26" t="str">
        <f t="shared" si="1"/>
        <v>WAIT</v>
      </c>
      <c r="I12" s="27" t="str">
        <f t="shared" si="2"/>
        <v>Need more data (20 days minimum)</v>
      </c>
    </row>
    <row r="13" spans="2:9" ht="16.5" customHeight="1" x14ac:dyDescent="0.3">
      <c r="B13" s="18" t="str">
        <f>'📊 RAW DATA'!B14</f>
        <v>2025-10-10</v>
      </c>
      <c r="C13" s="19">
        <f>'📊 RAW DATA'!F14</f>
        <v>199.01</v>
      </c>
      <c r="D13" s="28">
        <f t="shared" si="3"/>
        <v>1.1178293785884863E-2</v>
      </c>
      <c r="E13" s="19">
        <f t="shared" si="4"/>
        <v>197.2342857142857</v>
      </c>
      <c r="F13" s="19"/>
      <c r="G13" s="28" t="str">
        <f t="shared" si="0"/>
        <v/>
      </c>
      <c r="H13" s="29" t="str">
        <f t="shared" si="1"/>
        <v>WAIT</v>
      </c>
      <c r="I13" s="30" t="str">
        <f t="shared" si="2"/>
        <v>Need more data (20 days minimum)</v>
      </c>
    </row>
    <row r="14" spans="2:9" ht="16.5" customHeight="1" x14ac:dyDescent="0.3">
      <c r="B14" s="21" t="str">
        <f>'📊 RAW DATA'!B15</f>
        <v>2025-10-13</v>
      </c>
      <c r="C14" s="22">
        <f>'📊 RAW DATA'!F15</f>
        <v>198.74</v>
      </c>
      <c r="D14" s="25">
        <f t="shared" si="3"/>
        <v>-1.3567157429273946E-3</v>
      </c>
      <c r="E14" s="22">
        <f t="shared" si="4"/>
        <v>197.48571428571427</v>
      </c>
      <c r="F14" s="22"/>
      <c r="G14" s="25" t="str">
        <f t="shared" si="0"/>
        <v/>
      </c>
      <c r="H14" s="26" t="str">
        <f t="shared" si="1"/>
        <v>WAIT</v>
      </c>
      <c r="I14" s="27" t="str">
        <f t="shared" si="2"/>
        <v>Need more data (20 days minimum)</v>
      </c>
    </row>
    <row r="15" spans="2:9" ht="16.5" customHeight="1" x14ac:dyDescent="0.3">
      <c r="B15" s="18" t="str">
        <f>'📊 RAW DATA'!B16</f>
        <v>2025-10-14</v>
      </c>
      <c r="C15" s="19">
        <f>'📊 RAW DATA'!F16</f>
        <v>199.91</v>
      </c>
      <c r="D15" s="28">
        <f t="shared" si="3"/>
        <v>5.8870886585487003E-3</v>
      </c>
      <c r="E15" s="19">
        <f t="shared" si="4"/>
        <v>197.72857142857146</v>
      </c>
      <c r="F15" s="19"/>
      <c r="G15" s="28" t="str">
        <f t="shared" si="0"/>
        <v/>
      </c>
      <c r="H15" s="29" t="str">
        <f t="shared" si="1"/>
        <v>WAIT</v>
      </c>
      <c r="I15" s="30" t="str">
        <f t="shared" si="2"/>
        <v>Need more data (20 days minimum)</v>
      </c>
    </row>
    <row r="16" spans="2:9" ht="16.5" customHeight="1" x14ac:dyDescent="0.3">
      <c r="B16" s="21" t="str">
        <f>'📊 RAW DATA'!B17</f>
        <v>2025-10-15</v>
      </c>
      <c r="C16" s="22">
        <f>'📊 RAW DATA'!F17</f>
        <v>199.35</v>
      </c>
      <c r="D16" s="25">
        <f t="shared" si="3"/>
        <v>-2.8012605672552704E-3</v>
      </c>
      <c r="E16" s="22">
        <f t="shared" si="4"/>
        <v>198.14571428571429</v>
      </c>
      <c r="F16" s="22"/>
      <c r="G16" s="25" t="str">
        <f t="shared" si="0"/>
        <v/>
      </c>
      <c r="H16" s="26" t="str">
        <f t="shared" si="1"/>
        <v>WAIT</v>
      </c>
      <c r="I16" s="27" t="str">
        <f t="shared" si="2"/>
        <v>Need more data (20 days minimum)</v>
      </c>
    </row>
    <row r="17" spans="2:9" ht="16.5" customHeight="1" x14ac:dyDescent="0.3">
      <c r="B17" s="18" t="str">
        <f>'📊 RAW DATA'!B18</f>
        <v>2025-10-16</v>
      </c>
      <c r="C17" s="19">
        <f>'📊 RAW DATA'!F18</f>
        <v>197.69</v>
      </c>
      <c r="D17" s="28">
        <f t="shared" si="3"/>
        <v>-8.3270629546023933E-3</v>
      </c>
      <c r="E17" s="19">
        <f t="shared" si="4"/>
        <v>198.28857142857143</v>
      </c>
      <c r="F17" s="19"/>
      <c r="G17" s="28" t="str">
        <f t="shared" si="0"/>
        <v/>
      </c>
      <c r="H17" s="29" t="str">
        <f t="shared" si="1"/>
        <v>WAIT</v>
      </c>
      <c r="I17" s="30" t="str">
        <f t="shared" si="2"/>
        <v>Need more data (20 days minimum)</v>
      </c>
    </row>
    <row r="18" spans="2:9" ht="16.5" customHeight="1" x14ac:dyDescent="0.3">
      <c r="B18" s="21" t="str">
        <f>'📊 RAW DATA'!B19</f>
        <v>2025-10-17</v>
      </c>
      <c r="C18" s="22">
        <f>'📊 RAW DATA'!F19</f>
        <v>200.53</v>
      </c>
      <c r="D18" s="25">
        <f t="shared" si="3"/>
        <v>1.4365926450503386E-2</v>
      </c>
      <c r="E18" s="22">
        <f t="shared" si="4"/>
        <v>198.86285714285714</v>
      </c>
      <c r="F18" s="22"/>
      <c r="G18" s="25" t="str">
        <f t="shared" si="0"/>
        <v/>
      </c>
      <c r="H18" s="26" t="str">
        <f t="shared" si="1"/>
        <v>WAIT</v>
      </c>
      <c r="I18" s="27" t="str">
        <f t="shared" si="2"/>
        <v>Need more data (20 days minimum)</v>
      </c>
    </row>
    <row r="19" spans="2:9" ht="16.5" customHeight="1" x14ac:dyDescent="0.3">
      <c r="B19" s="18" t="str">
        <f>'📊 RAW DATA'!B20</f>
        <v>2025-10-20</v>
      </c>
      <c r="C19" s="19">
        <f>'📊 RAW DATA'!F20</f>
        <v>197.73</v>
      </c>
      <c r="D19" s="28">
        <f t="shared" si="3"/>
        <v>-1.3962998055153886E-2</v>
      </c>
      <c r="E19" s="19">
        <f t="shared" si="4"/>
        <v>198.99428571428572</v>
      </c>
      <c r="F19" s="19" t="str">
        <f>IF(ROW()-5&lt;20,"",AVERAGE(c0:C19))</f>
        <v/>
      </c>
      <c r="G19" s="28" t="str">
        <f t="shared" si="0"/>
        <v/>
      </c>
      <c r="H19" s="29" t="str">
        <f t="shared" si="1"/>
        <v>WAIT</v>
      </c>
      <c r="I19" s="30" t="str">
        <f t="shared" si="2"/>
        <v>Need more data (20 days minimum)</v>
      </c>
    </row>
    <row r="20" spans="2:9" ht="16.5" customHeight="1" x14ac:dyDescent="0.3">
      <c r="B20" s="21" t="str">
        <f>'📊 RAW DATA'!B21</f>
        <v>2025-10-21</v>
      </c>
      <c r="C20" s="22">
        <f>'📊 RAW DATA'!F21</f>
        <v>200.35</v>
      </c>
      <c r="D20" s="25">
        <f t="shared" si="3"/>
        <v>1.325039194861688E-2</v>
      </c>
      <c r="E20" s="22">
        <f t="shared" si="4"/>
        <v>199.18571428571428</v>
      </c>
      <c r="F20" s="22" t="str">
        <f t="shared" ref="F20:F51" si="5">IF(ROW()-5&lt;20,"",AVERAGE(C1:C20))</f>
        <v/>
      </c>
      <c r="G20" s="25" t="str">
        <f t="shared" si="0"/>
        <v/>
      </c>
      <c r="H20" s="26" t="str">
        <f t="shared" si="1"/>
        <v>WAIT</v>
      </c>
      <c r="I20" s="27" t="str">
        <f t="shared" si="2"/>
        <v>Need more data (20 days minimum)</v>
      </c>
    </row>
    <row r="21" spans="2:9" ht="16.5" customHeight="1" x14ac:dyDescent="0.3">
      <c r="B21" s="18" t="str">
        <f>'📊 RAW DATA'!B22</f>
        <v>2025-10-22</v>
      </c>
      <c r="C21" s="19">
        <f>'📊 RAW DATA'!F22</f>
        <v>199.33</v>
      </c>
      <c r="D21" s="28">
        <f t="shared" si="3"/>
        <v>-5.0910905914648419E-3</v>
      </c>
      <c r="E21" s="19">
        <f t="shared" si="4"/>
        <v>199.26999999999998</v>
      </c>
      <c r="F21" s="19" t="str">
        <f t="shared" si="5"/>
        <v/>
      </c>
      <c r="G21" s="28" t="str">
        <f t="shared" si="0"/>
        <v/>
      </c>
      <c r="H21" s="29" t="str">
        <f t="shared" si="1"/>
        <v>WAIT</v>
      </c>
      <c r="I21" s="30" t="str">
        <f t="shared" si="2"/>
        <v>Need more data (20 days minimum)</v>
      </c>
    </row>
    <row r="22" spans="2:9" ht="16.5" customHeight="1" x14ac:dyDescent="0.3">
      <c r="B22" s="21" t="str">
        <f>'📊 RAW DATA'!B23</f>
        <v>2025-10-23</v>
      </c>
      <c r="C22" s="22">
        <f>'📊 RAW DATA'!F23</f>
        <v>197.79</v>
      </c>
      <c r="D22" s="25">
        <f t="shared" si="3"/>
        <v>-7.7258817037074712E-3</v>
      </c>
      <c r="E22" s="22">
        <f t="shared" si="4"/>
        <v>198.96714285714285</v>
      </c>
      <c r="F22" s="22" t="str">
        <f t="shared" si="5"/>
        <v/>
      </c>
      <c r="G22" s="25" t="str">
        <f t="shared" si="0"/>
        <v/>
      </c>
      <c r="H22" s="26" t="str">
        <f t="shared" si="1"/>
        <v>WAIT</v>
      </c>
      <c r="I22" s="27" t="str">
        <f t="shared" si="2"/>
        <v>Need more data (20 days minimum)</v>
      </c>
    </row>
    <row r="23" spans="2:9" ht="16.5" customHeight="1" x14ac:dyDescent="0.3">
      <c r="B23" s="18" t="str">
        <f>'📊 RAW DATA'!B24</f>
        <v>2025-10-24</v>
      </c>
      <c r="C23" s="19">
        <f>'📊 RAW DATA'!F24</f>
        <v>199.4</v>
      </c>
      <c r="D23" s="28">
        <f t="shared" si="3"/>
        <v>8.1399464078062422E-3</v>
      </c>
      <c r="E23" s="19">
        <f t="shared" si="4"/>
        <v>198.97428571428574</v>
      </c>
      <c r="F23" s="19" t="str">
        <f t="shared" si="5"/>
        <v/>
      </c>
      <c r="G23" s="28" t="str">
        <f t="shared" si="0"/>
        <v/>
      </c>
      <c r="H23" s="29" t="str">
        <f t="shared" si="1"/>
        <v>WAIT</v>
      </c>
      <c r="I23" s="30" t="str">
        <f t="shared" si="2"/>
        <v>Need more data (20 days minimum)</v>
      </c>
    </row>
    <row r="24" spans="2:9" ht="16.5" customHeight="1" x14ac:dyDescent="0.3">
      <c r="B24" s="21" t="str">
        <f>'📊 RAW DATA'!B25</f>
        <v>2025-10-27</v>
      </c>
      <c r="C24" s="22">
        <f>'📊 RAW DATA'!F25</f>
        <v>202.18</v>
      </c>
      <c r="D24" s="25">
        <f t="shared" si="3"/>
        <v>1.3941825476429193E-2</v>
      </c>
      <c r="E24" s="22">
        <f t="shared" si="4"/>
        <v>199.61571428571432</v>
      </c>
      <c r="F24" s="22" t="str">
        <f t="shared" si="5"/>
        <v/>
      </c>
      <c r="G24" s="25" t="str">
        <f t="shared" si="0"/>
        <v/>
      </c>
      <c r="H24" s="26" t="str">
        <f t="shared" si="1"/>
        <v>WAIT</v>
      </c>
      <c r="I24" s="27" t="str">
        <f t="shared" si="2"/>
        <v>Need more data (20 days minimum)</v>
      </c>
    </row>
    <row r="25" spans="2:9" ht="16.5" customHeight="1" x14ac:dyDescent="0.3">
      <c r="B25" s="18" t="str">
        <f>'📊 RAW DATA'!B26</f>
        <v>2025-10-28</v>
      </c>
      <c r="C25" s="19">
        <f>'📊 RAW DATA'!F26</f>
        <v>203.77</v>
      </c>
      <c r="D25" s="28">
        <f t="shared" si="3"/>
        <v>7.8642793550300905E-3</v>
      </c>
      <c r="E25" s="19">
        <f t="shared" si="4"/>
        <v>200.07857142857142</v>
      </c>
      <c r="F25" s="19">
        <f t="shared" si="5"/>
        <v>198.85499999999999</v>
      </c>
      <c r="G25" s="28">
        <f t="shared" si="0"/>
        <v>6.1530835461589221E-3</v>
      </c>
      <c r="H25" s="29" t="str">
        <f t="shared" si="1"/>
        <v>BUY ▲</v>
      </c>
      <c r="I25" s="30" t="str">
        <f t="shared" si="2"/>
        <v>7-Day MA above 20-Day MA — upward momentum — possible good time to buy</v>
      </c>
    </row>
    <row r="26" spans="2:9" ht="16.5" customHeight="1" x14ac:dyDescent="0.3">
      <c r="B26" s="21" t="str">
        <f>'📊 RAW DATA'!B27</f>
        <v>2025-10-29</v>
      </c>
      <c r="C26" s="22">
        <f>'📊 RAW DATA'!F27</f>
        <v>207.17</v>
      </c>
      <c r="D26" s="25">
        <f t="shared" si="3"/>
        <v>1.6685478726014447E-2</v>
      </c>
      <c r="E26" s="22">
        <f t="shared" si="4"/>
        <v>201.42714285714285</v>
      </c>
      <c r="F26" s="22">
        <f t="shared" si="5"/>
        <v>199.22899999999998</v>
      </c>
      <c r="G26" s="25">
        <f t="shared" si="0"/>
        <v>1.1033247454652031E-2</v>
      </c>
      <c r="H26" s="26" t="str">
        <f t="shared" si="1"/>
        <v>BUY ▲</v>
      </c>
      <c r="I26" s="27" t="str">
        <f t="shared" si="2"/>
        <v>7-Day MA above 20-Day MA — upward momentum — possible good time to buy</v>
      </c>
    </row>
    <row r="27" spans="2:9" ht="16.5" customHeight="1" x14ac:dyDescent="0.3">
      <c r="B27" s="18" t="str">
        <f>'📊 RAW DATA'!B28</f>
        <v>2025-10-30</v>
      </c>
      <c r="C27" s="19">
        <f>'📊 RAW DATA'!F28</f>
        <v>210.72</v>
      </c>
      <c r="D27" s="28">
        <f t="shared" si="3"/>
        <v>1.7135685668774547E-2</v>
      </c>
      <c r="E27" s="19">
        <f t="shared" si="4"/>
        <v>202.90857142857143</v>
      </c>
      <c r="F27" s="19">
        <f t="shared" si="5"/>
        <v>199.916</v>
      </c>
      <c r="G27" s="28">
        <f t="shared" si="0"/>
        <v>1.4969144183414223E-2</v>
      </c>
      <c r="H27" s="29" t="str">
        <f t="shared" si="1"/>
        <v>BUY ▲</v>
      </c>
      <c r="I27" s="30" t="str">
        <f t="shared" si="2"/>
        <v>7-Day MA above 20-Day MA — upward momentum — possible good time to buy</v>
      </c>
    </row>
    <row r="28" spans="2:9" ht="16.5" customHeight="1" x14ac:dyDescent="0.3">
      <c r="B28" s="21" t="str">
        <f>'📊 RAW DATA'!B29</f>
        <v>2025-10-31</v>
      </c>
      <c r="C28" s="22">
        <f>'📊 RAW DATA'!F29</f>
        <v>211.62</v>
      </c>
      <c r="D28" s="25">
        <f t="shared" si="3"/>
        <v>4.2710706150341782E-3</v>
      </c>
      <c r="E28" s="22">
        <f t="shared" si="4"/>
        <v>204.66428571428574</v>
      </c>
      <c r="F28" s="22">
        <f t="shared" si="5"/>
        <v>200.58649999999997</v>
      </c>
      <c r="G28" s="25">
        <f t="shared" si="0"/>
        <v>2.0329312861462598E-2</v>
      </c>
      <c r="H28" s="26" t="str">
        <f t="shared" si="1"/>
        <v>BUY ▲</v>
      </c>
      <c r="I28" s="27" t="str">
        <f t="shared" si="2"/>
        <v>7-Day MA above 20-Day MA — upward momentum — possible good time to buy</v>
      </c>
    </row>
    <row r="29" spans="2:9" ht="16.5" customHeight="1" x14ac:dyDescent="0.3">
      <c r="B29" s="18" t="str">
        <f>'📊 RAW DATA'!B30</f>
        <v>2025-11-03</v>
      </c>
      <c r="C29" s="19">
        <f>'📊 RAW DATA'!F30</f>
        <v>209.2</v>
      </c>
      <c r="D29" s="28">
        <f t="shared" si="3"/>
        <v>-1.1435592099045544E-2</v>
      </c>
      <c r="E29" s="19">
        <f t="shared" si="4"/>
        <v>206.29428571428573</v>
      </c>
      <c r="F29" s="19">
        <f t="shared" si="5"/>
        <v>201.22499999999997</v>
      </c>
      <c r="G29" s="28">
        <f t="shared" si="0"/>
        <v>2.5192126794810633E-2</v>
      </c>
      <c r="H29" s="29" t="str">
        <f t="shared" si="1"/>
        <v>BUY ▲</v>
      </c>
      <c r="I29" s="30" t="str">
        <f t="shared" si="2"/>
        <v>7-Day MA above 20-Day MA — upward momentum — possible good time to buy</v>
      </c>
    </row>
    <row r="30" spans="2:9" ht="16.5" customHeight="1" x14ac:dyDescent="0.3">
      <c r="B30" s="21" t="str">
        <f>'📊 RAW DATA'!B31</f>
        <v>2025-11-04</v>
      </c>
      <c r="C30" s="22">
        <f>'📊 RAW DATA'!F31</f>
        <v>208.71</v>
      </c>
      <c r="D30" s="25">
        <f t="shared" si="3"/>
        <v>-2.3422562141490744E-3</v>
      </c>
      <c r="E30" s="22">
        <f t="shared" si="4"/>
        <v>207.62428571428572</v>
      </c>
      <c r="F30" s="22">
        <f t="shared" si="5"/>
        <v>201.82599999999996</v>
      </c>
      <c r="G30" s="25">
        <f t="shared" si="0"/>
        <v>2.8729131599921492E-2</v>
      </c>
      <c r="H30" s="26" t="str">
        <f t="shared" si="1"/>
        <v>BUY ▲</v>
      </c>
      <c r="I30" s="27" t="str">
        <f t="shared" si="2"/>
        <v>7-Day MA above 20-Day MA — upward momentum — possible good time to buy</v>
      </c>
    </row>
    <row r="31" spans="2:9" ht="16.5" customHeight="1" x14ac:dyDescent="0.3">
      <c r="B31" s="18" t="str">
        <f>'📊 RAW DATA'!B32</f>
        <v>2025-11-05</v>
      </c>
      <c r="C31" s="19">
        <f>'📊 RAW DATA'!F32</f>
        <v>210.23</v>
      </c>
      <c r="D31" s="28">
        <f t="shared" si="3"/>
        <v>7.2828326385894204E-3</v>
      </c>
      <c r="E31" s="19">
        <f t="shared" si="4"/>
        <v>208.77428571428572</v>
      </c>
      <c r="F31" s="19">
        <f t="shared" si="5"/>
        <v>202.51199999999997</v>
      </c>
      <c r="G31" s="28">
        <f t="shared" si="0"/>
        <v>3.0923035248705034E-2</v>
      </c>
      <c r="H31" s="29" t="str">
        <f t="shared" si="1"/>
        <v>BUY ▲</v>
      </c>
      <c r="I31" s="30" t="str">
        <f t="shared" si="2"/>
        <v>7-Day MA above 20-Day MA — upward momentum — possible good time to buy</v>
      </c>
    </row>
    <row r="32" spans="2:9" ht="16.5" customHeight="1" x14ac:dyDescent="0.3">
      <c r="B32" s="21" t="str">
        <f>'📊 RAW DATA'!B33</f>
        <v>2025-11-06</v>
      </c>
      <c r="C32" s="22">
        <f>'📊 RAW DATA'!F33</f>
        <v>210.26</v>
      </c>
      <c r="D32" s="25">
        <f t="shared" si="3"/>
        <v>1.4270085144851841E-4</v>
      </c>
      <c r="E32" s="22">
        <f t="shared" si="4"/>
        <v>209.70142857142858</v>
      </c>
      <c r="F32" s="22">
        <f t="shared" si="5"/>
        <v>203.18449999999999</v>
      </c>
      <c r="G32" s="25">
        <f t="shared" si="0"/>
        <v>3.2073945460547405E-2</v>
      </c>
      <c r="H32" s="26" t="str">
        <f t="shared" si="1"/>
        <v>BUY ▲</v>
      </c>
      <c r="I32" s="27" t="str">
        <f t="shared" si="2"/>
        <v>7-Day MA above 20-Day MA — upward momentum — possible good time to buy</v>
      </c>
    </row>
    <row r="33" spans="2:9" ht="16.5" customHeight="1" x14ac:dyDescent="0.3">
      <c r="B33" s="18" t="str">
        <f>'📊 RAW DATA'!B34</f>
        <v>2025-11-07</v>
      </c>
      <c r="C33" s="19">
        <f>'📊 RAW DATA'!F34</f>
        <v>212.56</v>
      </c>
      <c r="D33" s="28">
        <f t="shared" si="3"/>
        <v>1.0938837629601572E-2</v>
      </c>
      <c r="E33" s="19">
        <f t="shared" si="4"/>
        <v>210.47142857142856</v>
      </c>
      <c r="F33" s="19">
        <f t="shared" si="5"/>
        <v>203.86199999999997</v>
      </c>
      <c r="G33" s="28">
        <f t="shared" si="0"/>
        <v>3.242109157875718E-2</v>
      </c>
      <c r="H33" s="29" t="str">
        <f t="shared" si="1"/>
        <v>BUY ▲</v>
      </c>
      <c r="I33" s="30" t="str">
        <f t="shared" si="2"/>
        <v>7-Day MA above 20-Day MA — upward momentum — possible good time to buy</v>
      </c>
    </row>
    <row r="34" spans="2:9" ht="16.5" customHeight="1" x14ac:dyDescent="0.3">
      <c r="B34" s="21" t="str">
        <f>'📊 RAW DATA'!B35</f>
        <v>2025-11-10</v>
      </c>
      <c r="C34" s="22">
        <f>'📊 RAW DATA'!F35</f>
        <v>210.11</v>
      </c>
      <c r="D34" s="25">
        <f t="shared" si="3"/>
        <v>-1.1526157320285946E-2</v>
      </c>
      <c r="E34" s="22">
        <f t="shared" si="4"/>
        <v>210.38428571428571</v>
      </c>
      <c r="F34" s="22">
        <f t="shared" si="5"/>
        <v>204.43049999999999</v>
      </c>
      <c r="G34" s="25">
        <f t="shared" si="0"/>
        <v>2.9123764380978939E-2</v>
      </c>
      <c r="H34" s="26" t="str">
        <f t="shared" si="1"/>
        <v>BUY ▲</v>
      </c>
      <c r="I34" s="27" t="str">
        <f t="shared" si="2"/>
        <v>7-Day MA above 20-Day MA — upward momentum — possible good time to buy</v>
      </c>
    </row>
    <row r="35" spans="2:9" ht="16.5" customHeight="1" x14ac:dyDescent="0.3">
      <c r="B35" s="18" t="str">
        <f>'📊 RAW DATA'!B36</f>
        <v>2025-11-11</v>
      </c>
      <c r="C35" s="19">
        <f>'📊 RAW DATA'!F36</f>
        <v>209.87</v>
      </c>
      <c r="D35" s="28">
        <f t="shared" si="3"/>
        <v>-1.1422588168102932E-3</v>
      </c>
      <c r="E35" s="19">
        <f t="shared" si="4"/>
        <v>210.13428571428571</v>
      </c>
      <c r="F35" s="19">
        <f t="shared" si="5"/>
        <v>204.92849999999999</v>
      </c>
      <c r="G35" s="28">
        <f t="shared" si="0"/>
        <v>2.5402936703707513E-2</v>
      </c>
      <c r="H35" s="29" t="str">
        <f t="shared" si="1"/>
        <v>BUY ▲</v>
      </c>
      <c r="I35" s="30" t="str">
        <f t="shared" si="2"/>
        <v>7-Day MA above 20-Day MA — upward momentum — possible good time to buy</v>
      </c>
    </row>
    <row r="36" spans="2:9" ht="16.5" customHeight="1" x14ac:dyDescent="0.3">
      <c r="B36" s="21" t="str">
        <f>'📊 RAW DATA'!B37</f>
        <v>2025-11-12</v>
      </c>
      <c r="C36" s="22">
        <f>'📊 RAW DATA'!F37</f>
        <v>212.96</v>
      </c>
      <c r="D36" s="25">
        <f t="shared" si="3"/>
        <v>1.4723400200123971E-2</v>
      </c>
      <c r="E36" s="22">
        <f t="shared" si="4"/>
        <v>210.67142857142855</v>
      </c>
      <c r="F36" s="22">
        <f t="shared" si="5"/>
        <v>205.60900000000001</v>
      </c>
      <c r="G36" s="25">
        <f t="shared" si="0"/>
        <v>2.4621629264421987E-2</v>
      </c>
      <c r="H36" s="26" t="str">
        <f t="shared" si="1"/>
        <v>BUY ▲</v>
      </c>
      <c r="I36" s="27" t="str">
        <f t="shared" si="2"/>
        <v>7-Day MA above 20-Day MA — upward momentum — possible good time to buy</v>
      </c>
    </row>
    <row r="37" spans="2:9" ht="16.5" customHeight="1" x14ac:dyDescent="0.3">
      <c r="B37" s="18" t="str">
        <f>'📊 RAW DATA'!B38</f>
        <v>2025-11-13</v>
      </c>
      <c r="C37" s="19">
        <f>'📊 RAW DATA'!F38</f>
        <v>213.64</v>
      </c>
      <c r="D37" s="28">
        <f t="shared" si="3"/>
        <v>3.1930879038315485E-3</v>
      </c>
      <c r="E37" s="19">
        <f t="shared" si="4"/>
        <v>211.37571428571431</v>
      </c>
      <c r="F37" s="19">
        <f t="shared" si="5"/>
        <v>206.40649999999999</v>
      </c>
      <c r="G37" s="28">
        <f t="shared" si="0"/>
        <v>2.4074892436596305E-2</v>
      </c>
      <c r="H37" s="29" t="str">
        <f t="shared" si="1"/>
        <v>BUY ▲</v>
      </c>
      <c r="I37" s="30" t="str">
        <f t="shared" si="2"/>
        <v>7-Day MA above 20-Day MA — upward momentum — possible good time to buy</v>
      </c>
    </row>
    <row r="38" spans="2:9" ht="16.5" customHeight="1" x14ac:dyDescent="0.3">
      <c r="B38" s="21" t="str">
        <f>'📊 RAW DATA'!B39</f>
        <v>2025-11-14</v>
      </c>
      <c r="C38" s="22">
        <f>'📊 RAW DATA'!F39</f>
        <v>216.84</v>
      </c>
      <c r="D38" s="25">
        <f t="shared" si="3"/>
        <v>1.4978468451601001E-2</v>
      </c>
      <c r="E38" s="22">
        <f t="shared" si="4"/>
        <v>212.32</v>
      </c>
      <c r="F38" s="22">
        <f t="shared" si="5"/>
        <v>207.22199999999998</v>
      </c>
      <c r="G38" s="25">
        <f t="shared" ref="G38:G69" si="6">IF(OR(E38="",F38=""),"",(E38-F38)/F38)</f>
        <v>2.4601634961538898E-2</v>
      </c>
      <c r="H38" s="26" t="str">
        <f t="shared" ref="H38:H69" si="7">IF(OR(E38="",F38=""),"WAIT",IF(E38&gt;F38,"BUY ▲","SELL ▼"))</f>
        <v>BUY ▲</v>
      </c>
      <c r="I38" s="27" t="str">
        <f t="shared" ref="I38:I69" si="8">IF(H38="WAIT","Need more data (20 days minimum)",IF(H38="BUY ▲","7-Day MA above 20-Day MA — upward momentum — possible good time to buy","7-Day MA below 20-Day MA — downward momentum — possible time to be cautious"))</f>
        <v>7-Day MA above 20-Day MA — upward momentum — possible good time to buy</v>
      </c>
    </row>
    <row r="39" spans="2:9" ht="16.5" customHeight="1" x14ac:dyDescent="0.3">
      <c r="B39" s="18" t="str">
        <f>'📊 RAW DATA'!B40</f>
        <v>2025-11-17</v>
      </c>
      <c r="C39" s="19">
        <f>'📊 RAW DATA'!F40</f>
        <v>216.35</v>
      </c>
      <c r="D39" s="28">
        <f t="shared" ref="D39:D70" si="9">IF(C38=0,"",C39/C38-1)</f>
        <v>-2.2597306769969183E-3</v>
      </c>
      <c r="E39" s="19">
        <f t="shared" ref="E39:E70" si="10">IF(ROW()-5&lt;7,"",AVERAGE(C33:C39))</f>
        <v>213.18999999999997</v>
      </c>
      <c r="F39" s="19">
        <f t="shared" si="5"/>
        <v>208.15299999999996</v>
      </c>
      <c r="G39" s="28">
        <f t="shared" si="6"/>
        <v>2.4198546261644114E-2</v>
      </c>
      <c r="H39" s="29" t="str">
        <f t="shared" si="7"/>
        <v>BUY ▲</v>
      </c>
      <c r="I39" s="30" t="str">
        <f t="shared" si="8"/>
        <v>7-Day MA above 20-Day MA — upward momentum — possible good time to buy</v>
      </c>
    </row>
    <row r="40" spans="2:9" ht="16.5" customHeight="1" x14ac:dyDescent="0.3">
      <c r="B40" s="21" t="str">
        <f>'📊 RAW DATA'!B41</f>
        <v>2025-11-18</v>
      </c>
      <c r="C40" s="22">
        <f>'📊 RAW DATA'!F41</f>
        <v>218.69</v>
      </c>
      <c r="D40" s="25">
        <f t="shared" si="9"/>
        <v>1.0815807718973947E-2</v>
      </c>
      <c r="E40" s="22">
        <f t="shared" si="10"/>
        <v>214.06571428571428</v>
      </c>
      <c r="F40" s="22">
        <f t="shared" si="5"/>
        <v>209.07</v>
      </c>
      <c r="G40" s="25">
        <f t="shared" si="6"/>
        <v>2.3894936077458677E-2</v>
      </c>
      <c r="H40" s="26" t="str">
        <f t="shared" si="7"/>
        <v>BUY ▲</v>
      </c>
      <c r="I40" s="27" t="str">
        <f t="shared" si="8"/>
        <v>7-Day MA above 20-Day MA — upward momentum — possible good time to buy</v>
      </c>
    </row>
    <row r="41" spans="2:9" ht="16.5" customHeight="1" x14ac:dyDescent="0.3">
      <c r="B41" s="18" t="str">
        <f>'📊 RAW DATA'!B42</f>
        <v>2025-11-19</v>
      </c>
      <c r="C41" s="19">
        <f>'📊 RAW DATA'!F42</f>
        <v>218.01</v>
      </c>
      <c r="D41" s="28">
        <f t="shared" si="9"/>
        <v>-3.1094242992364407E-3</v>
      </c>
      <c r="E41" s="19">
        <f t="shared" si="10"/>
        <v>215.19428571428574</v>
      </c>
      <c r="F41" s="19">
        <f t="shared" si="5"/>
        <v>210.00399999999999</v>
      </c>
      <c r="G41" s="28">
        <f t="shared" si="6"/>
        <v>2.4715175493256081E-2</v>
      </c>
      <c r="H41" s="29" t="str">
        <f t="shared" si="7"/>
        <v>BUY ▲</v>
      </c>
      <c r="I41" s="30" t="str">
        <f t="shared" si="8"/>
        <v>7-Day MA above 20-Day MA — upward momentum — possible good time to buy</v>
      </c>
    </row>
    <row r="42" spans="2:9" ht="16.5" customHeight="1" x14ac:dyDescent="0.3">
      <c r="B42" s="21" t="str">
        <f>'📊 RAW DATA'!B43</f>
        <v>2025-11-20</v>
      </c>
      <c r="C42" s="22">
        <f>'📊 RAW DATA'!F43</f>
        <v>216.7</v>
      </c>
      <c r="D42" s="25">
        <f t="shared" si="9"/>
        <v>-6.0088986743727091E-3</v>
      </c>
      <c r="E42" s="22">
        <f t="shared" si="10"/>
        <v>216.17000000000002</v>
      </c>
      <c r="F42" s="22">
        <f t="shared" si="5"/>
        <v>210.9495</v>
      </c>
      <c r="G42" s="25">
        <f t="shared" si="6"/>
        <v>2.4747629171910885E-2</v>
      </c>
      <c r="H42" s="26" t="str">
        <f t="shared" si="7"/>
        <v>BUY ▲</v>
      </c>
      <c r="I42" s="27" t="str">
        <f t="shared" si="8"/>
        <v>7-Day MA above 20-Day MA — upward momentum — possible good time to buy</v>
      </c>
    </row>
    <row r="43" spans="2:9" ht="16.5" customHeight="1" x14ac:dyDescent="0.3">
      <c r="B43" s="18" t="str">
        <f>'📊 RAW DATA'!B44</f>
        <v>2025-11-21</v>
      </c>
      <c r="C43" s="19">
        <f>'📊 RAW DATA'!F44</f>
        <v>218.24</v>
      </c>
      <c r="D43" s="28">
        <f t="shared" si="9"/>
        <v>7.1065989847716171E-3</v>
      </c>
      <c r="E43" s="19">
        <f t="shared" si="10"/>
        <v>216.92428571428573</v>
      </c>
      <c r="F43" s="19">
        <f t="shared" si="5"/>
        <v>211.89150000000001</v>
      </c>
      <c r="G43" s="28">
        <f t="shared" si="6"/>
        <v>2.3751711202600022E-2</v>
      </c>
      <c r="H43" s="29" t="str">
        <f t="shared" si="7"/>
        <v>BUY ▲</v>
      </c>
      <c r="I43" s="30" t="str">
        <f t="shared" si="8"/>
        <v>7-Day MA above 20-Day MA — upward momentum — possible good time to buy</v>
      </c>
    </row>
    <row r="44" spans="2:9" ht="16.5" customHeight="1" x14ac:dyDescent="0.3">
      <c r="B44" s="21" t="str">
        <f>'📊 RAW DATA'!B45</f>
        <v>2025-11-24</v>
      </c>
      <c r="C44" s="22">
        <f>'📊 RAW DATA'!F45</f>
        <v>217.02</v>
      </c>
      <c r="D44" s="25">
        <f t="shared" si="9"/>
        <v>-5.5901759530792017E-3</v>
      </c>
      <c r="E44" s="22">
        <f t="shared" si="10"/>
        <v>217.40714285714284</v>
      </c>
      <c r="F44" s="22">
        <f t="shared" si="5"/>
        <v>212.6335</v>
      </c>
      <c r="G44" s="25">
        <f t="shared" si="6"/>
        <v>2.2450097736917494E-2</v>
      </c>
      <c r="H44" s="26" t="str">
        <f t="shared" si="7"/>
        <v>BUY ▲</v>
      </c>
      <c r="I44" s="27" t="str">
        <f t="shared" si="8"/>
        <v>7-Day MA above 20-Day MA — upward momentum — possible good time to buy</v>
      </c>
    </row>
    <row r="45" spans="2:9" ht="16.5" customHeight="1" x14ac:dyDescent="0.3">
      <c r="B45" s="18" t="str">
        <f>'📊 RAW DATA'!B46</f>
        <v>2025-11-25</v>
      </c>
      <c r="C45" s="19">
        <f>'📊 RAW DATA'!F46</f>
        <v>218.41</v>
      </c>
      <c r="D45" s="28">
        <f t="shared" si="9"/>
        <v>6.404939636899698E-3</v>
      </c>
      <c r="E45" s="19">
        <f t="shared" si="10"/>
        <v>217.63142857142859</v>
      </c>
      <c r="F45" s="19">
        <f t="shared" si="5"/>
        <v>213.36549999999997</v>
      </c>
      <c r="G45" s="28">
        <f t="shared" si="6"/>
        <v>1.9993525529800354E-2</v>
      </c>
      <c r="H45" s="29" t="str">
        <f t="shared" si="7"/>
        <v>BUY ▲</v>
      </c>
      <c r="I45" s="30" t="str">
        <f t="shared" si="8"/>
        <v>7-Day MA above 20-Day MA — upward momentum — possible good time to buy</v>
      </c>
    </row>
    <row r="46" spans="2:9" ht="16.5" customHeight="1" x14ac:dyDescent="0.3">
      <c r="B46" s="21" t="str">
        <f>'📊 RAW DATA'!B47</f>
        <v>2025-11-26</v>
      </c>
      <c r="C46" s="22">
        <f>'📊 RAW DATA'!F47</f>
        <v>223.1</v>
      </c>
      <c r="D46" s="25">
        <f t="shared" si="9"/>
        <v>2.1473375761183133E-2</v>
      </c>
      <c r="E46" s="22">
        <f t="shared" si="10"/>
        <v>218.59571428571431</v>
      </c>
      <c r="F46" s="22">
        <f t="shared" si="5"/>
        <v>214.16199999999995</v>
      </c>
      <c r="G46" s="25">
        <f t="shared" si="6"/>
        <v>2.0702618978690711E-2</v>
      </c>
      <c r="H46" s="26" t="str">
        <f t="shared" si="7"/>
        <v>BUY ▲</v>
      </c>
      <c r="I46" s="27" t="str">
        <f t="shared" si="8"/>
        <v>7-Day MA above 20-Day MA — upward momentum — possible good time to buy</v>
      </c>
    </row>
    <row r="47" spans="2:9" ht="16.5" customHeight="1" x14ac:dyDescent="0.3">
      <c r="B47" s="18" t="str">
        <f>'📊 RAW DATA'!B48</f>
        <v>2025-11-27</v>
      </c>
      <c r="C47" s="19">
        <f>'📊 RAW DATA'!F48</f>
        <v>223.14</v>
      </c>
      <c r="D47" s="28">
        <f t="shared" si="9"/>
        <v>1.7929179740017176E-4</v>
      </c>
      <c r="E47" s="19">
        <f t="shared" si="10"/>
        <v>219.23142857142855</v>
      </c>
      <c r="F47" s="19">
        <f t="shared" si="5"/>
        <v>214.78299999999999</v>
      </c>
      <c r="G47" s="28">
        <f t="shared" si="6"/>
        <v>2.0711269380856795E-2</v>
      </c>
      <c r="H47" s="29" t="str">
        <f t="shared" si="7"/>
        <v>BUY ▲</v>
      </c>
      <c r="I47" s="30" t="str">
        <f t="shared" si="8"/>
        <v>7-Day MA above 20-Day MA — upward momentum — possible good time to buy</v>
      </c>
    </row>
    <row r="48" spans="2:9" ht="16.5" customHeight="1" x14ac:dyDescent="0.3">
      <c r="B48" s="21" t="str">
        <f>'📊 RAW DATA'!B49</f>
        <v>2025-11-28</v>
      </c>
      <c r="C48" s="22">
        <f>'📊 RAW DATA'!F49</f>
        <v>224.03</v>
      </c>
      <c r="D48" s="25">
        <f t="shared" si="9"/>
        <v>3.9885273819126876E-3</v>
      </c>
      <c r="E48" s="22">
        <f t="shared" si="10"/>
        <v>220.09142857142859</v>
      </c>
      <c r="F48" s="22">
        <f t="shared" si="5"/>
        <v>215.40349999999998</v>
      </c>
      <c r="G48" s="25">
        <f t="shared" si="6"/>
        <v>2.1763474462711211E-2</v>
      </c>
      <c r="H48" s="26" t="str">
        <f t="shared" si="7"/>
        <v>BUY ▲</v>
      </c>
      <c r="I48" s="27" t="str">
        <f t="shared" si="8"/>
        <v>7-Day MA above 20-Day MA — upward momentum — possible good time to buy</v>
      </c>
    </row>
    <row r="49" spans="2:9" ht="16.5" customHeight="1" x14ac:dyDescent="0.3">
      <c r="B49" s="18" t="str">
        <f>'📊 RAW DATA'!B50</f>
        <v>2025-12-01</v>
      </c>
      <c r="C49" s="19">
        <f>'📊 RAW DATA'!F50</f>
        <v>221.18</v>
      </c>
      <c r="D49" s="28">
        <f t="shared" si="9"/>
        <v>-1.2721510511985001E-2</v>
      </c>
      <c r="E49" s="19">
        <f t="shared" si="10"/>
        <v>220.73142857142855</v>
      </c>
      <c r="F49" s="19">
        <f t="shared" si="5"/>
        <v>216.00249999999997</v>
      </c>
      <c r="G49" s="28">
        <f t="shared" si="6"/>
        <v>2.1892934440242973E-2</v>
      </c>
      <c r="H49" s="29" t="str">
        <f t="shared" si="7"/>
        <v>BUY ▲</v>
      </c>
      <c r="I49" s="30" t="str">
        <f t="shared" si="8"/>
        <v>7-Day MA above 20-Day MA — upward momentum — possible good time to buy</v>
      </c>
    </row>
    <row r="50" spans="2:9" ht="16.5" customHeight="1" x14ac:dyDescent="0.3">
      <c r="B50" s="21" t="str">
        <f>'📊 RAW DATA'!B51</f>
        <v>2025-12-02</v>
      </c>
      <c r="C50" s="22">
        <f>'📊 RAW DATA'!F51</f>
        <v>223.95</v>
      </c>
      <c r="D50" s="25">
        <f t="shared" si="9"/>
        <v>1.2523736323356349E-2</v>
      </c>
      <c r="E50" s="22">
        <f t="shared" si="10"/>
        <v>221.54714285714289</v>
      </c>
      <c r="F50" s="22">
        <f t="shared" si="5"/>
        <v>216.76449999999994</v>
      </c>
      <c r="G50" s="25">
        <f t="shared" si="6"/>
        <v>2.2063773621339967E-2</v>
      </c>
      <c r="H50" s="26" t="str">
        <f t="shared" si="7"/>
        <v>BUY ▲</v>
      </c>
      <c r="I50" s="27" t="str">
        <f t="shared" si="8"/>
        <v>7-Day MA above 20-Day MA — upward momentum — possible good time to buy</v>
      </c>
    </row>
    <row r="51" spans="2:9" ht="16.5" customHeight="1" x14ac:dyDescent="0.3">
      <c r="B51" s="18" t="str">
        <f>'📊 RAW DATA'!B52</f>
        <v>2025-12-03</v>
      </c>
      <c r="C51" s="19">
        <f>'📊 RAW DATA'!F52</f>
        <v>223.77</v>
      </c>
      <c r="D51" s="28">
        <f t="shared" si="9"/>
        <v>-8.037508372403801E-4</v>
      </c>
      <c r="E51" s="19">
        <f t="shared" si="10"/>
        <v>222.51142857142855</v>
      </c>
      <c r="F51" s="19">
        <f t="shared" si="5"/>
        <v>217.44149999999999</v>
      </c>
      <c r="G51" s="28">
        <f t="shared" si="6"/>
        <v>2.331628769774198E-2</v>
      </c>
      <c r="H51" s="29" t="str">
        <f t="shared" si="7"/>
        <v>BUY ▲</v>
      </c>
      <c r="I51" s="30" t="str">
        <f t="shared" si="8"/>
        <v>7-Day MA above 20-Day MA — upward momentum — possible good time to buy</v>
      </c>
    </row>
    <row r="52" spans="2:9" ht="16.5" customHeight="1" x14ac:dyDescent="0.3">
      <c r="B52" s="21" t="str">
        <f>'📊 RAW DATA'!B53</f>
        <v>2025-12-04</v>
      </c>
      <c r="C52" s="22">
        <f>'📊 RAW DATA'!F53</f>
        <v>225.33</v>
      </c>
      <c r="D52" s="25">
        <f t="shared" si="9"/>
        <v>6.9714438932833023E-3</v>
      </c>
      <c r="E52" s="22">
        <f t="shared" si="10"/>
        <v>223.5</v>
      </c>
      <c r="F52" s="22">
        <f t="shared" ref="F52:F83" si="11">IF(ROW()-5&lt;20,"",AVERAGE(C33:C52))</f>
        <v>218.19499999999994</v>
      </c>
      <c r="G52" s="25">
        <f t="shared" si="6"/>
        <v>2.4313114416004332E-2</v>
      </c>
      <c r="H52" s="26" t="str">
        <f t="shared" si="7"/>
        <v>BUY ▲</v>
      </c>
      <c r="I52" s="27" t="str">
        <f t="shared" si="8"/>
        <v>7-Day MA above 20-Day MA — upward momentum — possible good time to buy</v>
      </c>
    </row>
    <row r="53" spans="2:9" ht="16.5" customHeight="1" x14ac:dyDescent="0.3">
      <c r="B53" s="18" t="str">
        <f>'📊 RAW DATA'!B54</f>
        <v>2025-12-05</v>
      </c>
      <c r="C53" s="19">
        <f>'📊 RAW DATA'!F54</f>
        <v>226.95</v>
      </c>
      <c r="D53" s="28">
        <f t="shared" si="9"/>
        <v>7.1894554653173515E-3</v>
      </c>
      <c r="E53" s="19">
        <f t="shared" si="10"/>
        <v>224.04999999999998</v>
      </c>
      <c r="F53" s="19">
        <f t="shared" si="11"/>
        <v>218.91449999999995</v>
      </c>
      <c r="G53" s="28">
        <f t="shared" si="6"/>
        <v>2.3458930312976242E-2</v>
      </c>
      <c r="H53" s="29" t="str">
        <f t="shared" si="7"/>
        <v>BUY ▲</v>
      </c>
      <c r="I53" s="30" t="str">
        <f t="shared" si="8"/>
        <v>7-Day MA above 20-Day MA — upward momentum — possible good time to buy</v>
      </c>
    </row>
    <row r="54" spans="2:9" ht="16.5" customHeight="1" x14ac:dyDescent="0.3">
      <c r="B54" s="21" t="str">
        <f>'📊 RAW DATA'!B55</f>
        <v>2025-12-08</v>
      </c>
      <c r="C54" s="22">
        <f>'📊 RAW DATA'!F55</f>
        <v>224.85</v>
      </c>
      <c r="D54" s="25">
        <f t="shared" si="9"/>
        <v>-9.2531394580304127E-3</v>
      </c>
      <c r="E54" s="22">
        <f t="shared" si="10"/>
        <v>224.29428571428571</v>
      </c>
      <c r="F54" s="22">
        <f t="shared" si="11"/>
        <v>219.6515</v>
      </c>
      <c r="G54" s="25">
        <f t="shared" si="6"/>
        <v>2.1137054444361671E-2</v>
      </c>
      <c r="H54" s="26" t="str">
        <f t="shared" si="7"/>
        <v>BUY ▲</v>
      </c>
      <c r="I54" s="27" t="str">
        <f t="shared" si="8"/>
        <v>7-Day MA above 20-Day MA — upward momentum — possible good time to buy</v>
      </c>
    </row>
    <row r="55" spans="2:9" ht="16.5" customHeight="1" x14ac:dyDescent="0.3">
      <c r="B55" s="18" t="str">
        <f>'📊 RAW DATA'!B56</f>
        <v>2025-12-09</v>
      </c>
      <c r="C55" s="19">
        <f>'📊 RAW DATA'!F56</f>
        <v>228.41</v>
      </c>
      <c r="D55" s="28">
        <f t="shared" si="9"/>
        <v>1.583277740716027E-2</v>
      </c>
      <c r="E55" s="19">
        <f t="shared" si="10"/>
        <v>224.92000000000002</v>
      </c>
      <c r="F55" s="19">
        <f t="shared" si="11"/>
        <v>220.57849999999999</v>
      </c>
      <c r="G55" s="28">
        <f t="shared" si="6"/>
        <v>1.9682335313731959E-2</v>
      </c>
      <c r="H55" s="29" t="str">
        <f t="shared" si="7"/>
        <v>BUY ▲</v>
      </c>
      <c r="I55" s="30" t="str">
        <f t="shared" si="8"/>
        <v>7-Day MA above 20-Day MA — upward momentum — possible good time to buy</v>
      </c>
    </row>
    <row r="56" spans="2:9" ht="16.5" customHeight="1" x14ac:dyDescent="0.3">
      <c r="B56" s="21" t="str">
        <f>'📊 RAW DATA'!B57</f>
        <v>2025-12-10</v>
      </c>
      <c r="C56" s="22">
        <f>'📊 RAW DATA'!F57</f>
        <v>228</v>
      </c>
      <c r="D56" s="25">
        <f t="shared" si="9"/>
        <v>-1.7950177312726634E-3</v>
      </c>
      <c r="E56" s="22">
        <f t="shared" si="10"/>
        <v>225.8942857142857</v>
      </c>
      <c r="F56" s="22">
        <f t="shared" si="11"/>
        <v>221.33049999999997</v>
      </c>
      <c r="G56" s="25">
        <f t="shared" si="6"/>
        <v>2.061977772736125E-2</v>
      </c>
      <c r="H56" s="26" t="str">
        <f t="shared" si="7"/>
        <v>BUY ▲</v>
      </c>
      <c r="I56" s="27" t="str">
        <f t="shared" si="8"/>
        <v>7-Day MA above 20-Day MA — upward momentum — possible good time to buy</v>
      </c>
    </row>
    <row r="57" spans="2:9" ht="16.5" customHeight="1" x14ac:dyDescent="0.3">
      <c r="B57" s="18" t="str">
        <f>'📊 RAW DATA'!B58</f>
        <v>2025-12-11</v>
      </c>
      <c r="C57" s="19">
        <f>'📊 RAW DATA'!F58</f>
        <v>228.44</v>
      </c>
      <c r="D57" s="28">
        <f t="shared" si="9"/>
        <v>1.9298245614034482E-3</v>
      </c>
      <c r="E57" s="19">
        <f t="shared" si="10"/>
        <v>226.53571428571428</v>
      </c>
      <c r="F57" s="19">
        <f t="shared" si="11"/>
        <v>222.07049999999995</v>
      </c>
      <c r="G57" s="28">
        <f t="shared" si="6"/>
        <v>2.0107192471374297E-2</v>
      </c>
      <c r="H57" s="29" t="str">
        <f t="shared" si="7"/>
        <v>BUY ▲</v>
      </c>
      <c r="I57" s="30" t="str">
        <f t="shared" si="8"/>
        <v>7-Day MA above 20-Day MA — upward momentum — possible good time to buy</v>
      </c>
    </row>
    <row r="58" spans="2:9" ht="16.5" customHeight="1" x14ac:dyDescent="0.3">
      <c r="B58" s="21" t="str">
        <f>'📊 RAW DATA'!B59</f>
        <v>2025-12-12</v>
      </c>
      <c r="C58" s="22">
        <f>'📊 RAW DATA'!F59</f>
        <v>231</v>
      </c>
      <c r="D58" s="25">
        <f t="shared" si="9"/>
        <v>1.1206443705130464E-2</v>
      </c>
      <c r="E58" s="22">
        <f t="shared" si="10"/>
        <v>227.56857142857143</v>
      </c>
      <c r="F58" s="22">
        <f t="shared" si="11"/>
        <v>222.77849999999995</v>
      </c>
      <c r="G58" s="25">
        <f t="shared" si="6"/>
        <v>2.1501497804193317E-2</v>
      </c>
      <c r="H58" s="26" t="str">
        <f t="shared" si="7"/>
        <v>BUY ▲</v>
      </c>
      <c r="I58" s="27" t="str">
        <f t="shared" si="8"/>
        <v>7-Day MA above 20-Day MA — upward momentum — possible good time to buy</v>
      </c>
    </row>
    <row r="59" spans="2:9" ht="16.5" customHeight="1" x14ac:dyDescent="0.3">
      <c r="B59" s="18" t="str">
        <f>'📊 RAW DATA'!B60</f>
        <v>2025-12-15</v>
      </c>
      <c r="C59" s="19">
        <f>'📊 RAW DATA'!F60</f>
        <v>226.44</v>
      </c>
      <c r="D59" s="28">
        <f t="shared" si="9"/>
        <v>-1.9740259740259725E-2</v>
      </c>
      <c r="E59" s="19">
        <f t="shared" si="10"/>
        <v>227.72714285714284</v>
      </c>
      <c r="F59" s="19">
        <f t="shared" si="11"/>
        <v>223.28299999999996</v>
      </c>
      <c r="G59" s="28">
        <f t="shared" si="6"/>
        <v>1.9903632865658737E-2</v>
      </c>
      <c r="H59" s="29" t="str">
        <f t="shared" si="7"/>
        <v>BUY ▲</v>
      </c>
      <c r="I59" s="30" t="str">
        <f t="shared" si="8"/>
        <v>7-Day MA above 20-Day MA — upward momentum — possible good time to buy</v>
      </c>
    </row>
    <row r="60" spans="2:9" ht="16.5" customHeight="1" x14ac:dyDescent="0.3">
      <c r="B60" s="21" t="str">
        <f>'📊 RAW DATA'!B61</f>
        <v>2025-12-16</v>
      </c>
      <c r="C60" s="22">
        <f>'📊 RAW DATA'!F61</f>
        <v>226.79</v>
      </c>
      <c r="D60" s="25">
        <f t="shared" si="9"/>
        <v>1.5456633103692052E-3</v>
      </c>
      <c r="E60" s="22">
        <f t="shared" si="10"/>
        <v>227.70428571428573</v>
      </c>
      <c r="F60" s="22">
        <f t="shared" si="11"/>
        <v>223.68799999999996</v>
      </c>
      <c r="G60" s="25">
        <f t="shared" si="6"/>
        <v>1.7954855487490488E-2</v>
      </c>
      <c r="H60" s="26" t="str">
        <f t="shared" si="7"/>
        <v>BUY ▲</v>
      </c>
      <c r="I60" s="27" t="str">
        <f t="shared" si="8"/>
        <v>7-Day MA above 20-Day MA — upward momentum — possible good time to buy</v>
      </c>
    </row>
    <row r="61" spans="2:9" ht="16.5" customHeight="1" x14ac:dyDescent="0.3">
      <c r="B61" s="18" t="str">
        <f>'📊 RAW DATA'!B62</f>
        <v>2025-12-17</v>
      </c>
      <c r="C61" s="19">
        <f>'📊 RAW DATA'!F62</f>
        <v>228.4</v>
      </c>
      <c r="D61" s="28">
        <f t="shared" si="9"/>
        <v>7.09907844261215E-3</v>
      </c>
      <c r="E61" s="19">
        <f t="shared" si="10"/>
        <v>228.21142857142857</v>
      </c>
      <c r="F61" s="19">
        <f t="shared" si="11"/>
        <v>224.20749999999998</v>
      </c>
      <c r="G61" s="28">
        <f t="shared" si="6"/>
        <v>1.7858138427254165E-2</v>
      </c>
      <c r="H61" s="29" t="str">
        <f t="shared" si="7"/>
        <v>BUY ▲</v>
      </c>
      <c r="I61" s="30" t="str">
        <f t="shared" si="8"/>
        <v>7-Day MA above 20-Day MA — upward momentum — possible good time to buy</v>
      </c>
    </row>
    <row r="62" spans="2:9" ht="16.5" customHeight="1" x14ac:dyDescent="0.3">
      <c r="B62" s="21" t="str">
        <f>'📊 RAW DATA'!B63</f>
        <v>2025-12-18</v>
      </c>
      <c r="C62" s="22">
        <f>'📊 RAW DATA'!F63</f>
        <v>227.73</v>
      </c>
      <c r="D62" s="25">
        <f t="shared" si="9"/>
        <v>-2.9334500875657366E-3</v>
      </c>
      <c r="E62" s="22">
        <f t="shared" si="10"/>
        <v>228.11428571428573</v>
      </c>
      <c r="F62" s="22">
        <f t="shared" si="11"/>
        <v>224.75899999999996</v>
      </c>
      <c r="G62" s="25">
        <f t="shared" si="6"/>
        <v>1.492837089631904E-2</v>
      </c>
      <c r="H62" s="26" t="str">
        <f t="shared" si="7"/>
        <v>BUY ▲</v>
      </c>
      <c r="I62" s="27" t="str">
        <f t="shared" si="8"/>
        <v>7-Day MA above 20-Day MA — upward momentum — possible good time to buy</v>
      </c>
    </row>
    <row r="63" spans="2:9" ht="16.5" customHeight="1" x14ac:dyDescent="0.3">
      <c r="B63" s="18" t="str">
        <f>'📊 RAW DATA'!B64</f>
        <v>2025-12-19</v>
      </c>
      <c r="C63" s="19">
        <f>'📊 RAW DATA'!F64</f>
        <v>228.35</v>
      </c>
      <c r="D63" s="28">
        <f t="shared" si="9"/>
        <v>2.7225222851623432E-3</v>
      </c>
      <c r="E63" s="19">
        <f t="shared" si="10"/>
        <v>228.16428571428568</v>
      </c>
      <c r="F63" s="19">
        <f t="shared" si="11"/>
        <v>225.2645</v>
      </c>
      <c r="G63" s="28">
        <f t="shared" si="6"/>
        <v>1.287280381189972E-2</v>
      </c>
      <c r="H63" s="29" t="str">
        <f t="shared" si="7"/>
        <v>BUY ▲</v>
      </c>
      <c r="I63" s="30" t="str">
        <f t="shared" si="8"/>
        <v>7-Day MA above 20-Day MA — upward momentum — possible good time to buy</v>
      </c>
    </row>
    <row r="64" spans="2:9" ht="16.5" customHeight="1" x14ac:dyDescent="0.3">
      <c r="B64" s="21" t="str">
        <f>'📊 RAW DATA'!B65</f>
        <v>2025-12-22</v>
      </c>
      <c r="C64" s="22">
        <f>'📊 RAW DATA'!F65</f>
        <v>232.39</v>
      </c>
      <c r="D64" s="25">
        <f t="shared" si="9"/>
        <v>1.7692139259908091E-2</v>
      </c>
      <c r="E64" s="22">
        <f t="shared" si="10"/>
        <v>228.72857142857143</v>
      </c>
      <c r="F64" s="22">
        <f t="shared" si="11"/>
        <v>226.03300000000004</v>
      </c>
      <c r="G64" s="25">
        <f t="shared" si="6"/>
        <v>1.1925565862380198E-2</v>
      </c>
      <c r="H64" s="26" t="str">
        <f t="shared" si="7"/>
        <v>BUY ▲</v>
      </c>
      <c r="I64" s="27" t="str">
        <f t="shared" si="8"/>
        <v>7-Day MA above 20-Day MA — upward momentum — possible good time to buy</v>
      </c>
    </row>
    <row r="65" spans="2:9" ht="16.5" customHeight="1" x14ac:dyDescent="0.3">
      <c r="B65" s="18" t="str">
        <f>'📊 RAW DATA'!B66</f>
        <v>2025-12-23</v>
      </c>
      <c r="C65" s="19">
        <f>'📊 RAW DATA'!F66</f>
        <v>229.45</v>
      </c>
      <c r="D65" s="28">
        <f t="shared" si="9"/>
        <v>-1.265114677912127E-2</v>
      </c>
      <c r="E65" s="19">
        <f t="shared" si="10"/>
        <v>228.50714285714284</v>
      </c>
      <c r="F65" s="19">
        <f t="shared" si="11"/>
        <v>226.58499999999998</v>
      </c>
      <c r="G65" s="28">
        <f t="shared" si="6"/>
        <v>8.4830984272694972E-3</v>
      </c>
      <c r="H65" s="29" t="str">
        <f t="shared" si="7"/>
        <v>BUY ▲</v>
      </c>
      <c r="I65" s="30" t="str">
        <f t="shared" si="8"/>
        <v>7-Day MA above 20-Day MA — upward momentum — possible good time to buy</v>
      </c>
    </row>
    <row r="66" spans="2:9" ht="16.5" customHeight="1" x14ac:dyDescent="0.3">
      <c r="B66" s="21" t="str">
        <f>'📊 RAW DATA'!B67</f>
        <v>2025-12-24</v>
      </c>
      <c r="C66" s="22">
        <f>'📊 RAW DATA'!F67</f>
        <v>231.42</v>
      </c>
      <c r="D66" s="25">
        <f t="shared" si="9"/>
        <v>8.5857485290912194E-3</v>
      </c>
      <c r="E66" s="22">
        <f t="shared" si="10"/>
        <v>229.21857142857144</v>
      </c>
      <c r="F66" s="22">
        <f t="shared" si="11"/>
        <v>227.00099999999998</v>
      </c>
      <c r="G66" s="25">
        <f t="shared" si="6"/>
        <v>9.7689940950544743E-3</v>
      </c>
      <c r="H66" s="26" t="str">
        <f t="shared" si="7"/>
        <v>BUY ▲</v>
      </c>
      <c r="I66" s="27" t="str">
        <f t="shared" si="8"/>
        <v>7-Day MA above 20-Day MA — upward momentum — possible good time to buy</v>
      </c>
    </row>
    <row r="67" spans="2:9" ht="16.5" customHeight="1" x14ac:dyDescent="0.3">
      <c r="B67" s="18" t="str">
        <f>'📊 RAW DATA'!B68</f>
        <v>2025-12-25</v>
      </c>
      <c r="C67" s="19">
        <f>'📊 RAW DATA'!F68</f>
        <v>231.95</v>
      </c>
      <c r="D67" s="28">
        <f t="shared" si="9"/>
        <v>2.2902082793190282E-3</v>
      </c>
      <c r="E67" s="19">
        <f t="shared" si="10"/>
        <v>229.95571428571429</v>
      </c>
      <c r="F67" s="19">
        <f t="shared" si="11"/>
        <v>227.44149999999996</v>
      </c>
      <c r="G67" s="28">
        <f t="shared" si="6"/>
        <v>1.1054333908782398E-2</v>
      </c>
      <c r="H67" s="29" t="str">
        <f t="shared" si="7"/>
        <v>BUY ▲</v>
      </c>
      <c r="I67" s="30" t="str">
        <f t="shared" si="8"/>
        <v>7-Day MA above 20-Day MA — upward momentum — possible good time to buy</v>
      </c>
    </row>
    <row r="68" spans="2:9" ht="16.5" customHeight="1" x14ac:dyDescent="0.3">
      <c r="B68" s="21" t="str">
        <f>'📊 RAW DATA'!B69</f>
        <v>2025-12-26</v>
      </c>
      <c r="C68" s="22">
        <f>'📊 RAW DATA'!F69</f>
        <v>233.04</v>
      </c>
      <c r="D68" s="25">
        <f t="shared" si="9"/>
        <v>4.6992886397929645E-3</v>
      </c>
      <c r="E68" s="22">
        <f t="shared" si="10"/>
        <v>230.61857142857144</v>
      </c>
      <c r="F68" s="22">
        <f t="shared" si="11"/>
        <v>227.892</v>
      </c>
      <c r="G68" s="25">
        <f t="shared" si="6"/>
        <v>1.1964313923136603E-2</v>
      </c>
      <c r="H68" s="26" t="str">
        <f t="shared" si="7"/>
        <v>BUY ▲</v>
      </c>
      <c r="I68" s="27" t="str">
        <f t="shared" si="8"/>
        <v>7-Day MA above 20-Day MA — upward momentum — possible good time to buy</v>
      </c>
    </row>
    <row r="69" spans="2:9" ht="16.5" customHeight="1" x14ac:dyDescent="0.3">
      <c r="B69" s="18" t="str">
        <f>'📊 RAW DATA'!B70</f>
        <v>2025-12-29</v>
      </c>
      <c r="C69" s="19">
        <f>'📊 RAW DATA'!F70</f>
        <v>227.59</v>
      </c>
      <c r="D69" s="28">
        <f t="shared" si="9"/>
        <v>-2.338654308273258E-2</v>
      </c>
      <c r="E69" s="19">
        <f t="shared" si="10"/>
        <v>230.5985714285714</v>
      </c>
      <c r="F69" s="19">
        <f t="shared" si="11"/>
        <v>228.21250000000001</v>
      </c>
      <c r="G69" s="28">
        <f t="shared" si="6"/>
        <v>1.0455480872307162E-2</v>
      </c>
      <c r="H69" s="29" t="str">
        <f t="shared" si="7"/>
        <v>BUY ▲</v>
      </c>
      <c r="I69" s="30" t="str">
        <f t="shared" si="8"/>
        <v>7-Day MA above 20-Day MA — upward momentum — possible good time to buy</v>
      </c>
    </row>
    <row r="70" spans="2:9" ht="16.5" customHeight="1" x14ac:dyDescent="0.3">
      <c r="B70" s="21" t="str">
        <f>'📊 RAW DATA'!B71</f>
        <v>2025-12-30</v>
      </c>
      <c r="C70" s="22">
        <f>'📊 RAW DATA'!F71</f>
        <v>230.36</v>
      </c>
      <c r="D70" s="25">
        <f t="shared" si="9"/>
        <v>1.2171009271057631E-2</v>
      </c>
      <c r="E70" s="22">
        <f t="shared" si="10"/>
        <v>230.88571428571427</v>
      </c>
      <c r="F70" s="22">
        <f t="shared" si="11"/>
        <v>228.53299999999999</v>
      </c>
      <c r="G70" s="25">
        <f t="shared" ref="G70:G101" si="12">IF(OR(E70="",F70=""),"",(E70-F70)/F70)</f>
        <v>1.0294855822635177E-2</v>
      </c>
      <c r="H70" s="26" t="str">
        <f t="shared" ref="H70:H101" si="13">IF(OR(E70="",F70=""),"WAIT",IF(E70&gt;F70,"BUY ▲","SELL ▼"))</f>
        <v>BUY ▲</v>
      </c>
      <c r="I70" s="27" t="str">
        <f t="shared" ref="I70:I101" si="14">IF(H70="WAIT","Need more data (20 days minimum)",IF(H70="BUY ▲","7-Day MA above 20-Day MA — upward momentum — possible good time to buy","7-Day MA below 20-Day MA — downward momentum — possible time to be cautious"))</f>
        <v>7-Day MA above 20-Day MA — upward momentum — possible good time to buy</v>
      </c>
    </row>
    <row r="71" spans="2:9" ht="16.5" customHeight="1" x14ac:dyDescent="0.3">
      <c r="B71" s="18" t="str">
        <f>'📊 RAW DATA'!B72</f>
        <v>2025-12-31</v>
      </c>
      <c r="C71" s="19">
        <f>'📊 RAW DATA'!F72</f>
        <v>230.24</v>
      </c>
      <c r="D71" s="28">
        <f t="shared" ref="D71:D102" si="15">IF(C70=0,"",C71/C70-1)</f>
        <v>-5.2092377148815761E-4</v>
      </c>
      <c r="E71" s="19">
        <f t="shared" ref="E71:E102" si="16">IF(ROW()-5&lt;7,"",AVERAGE(C65:C71))</f>
        <v>230.57857142857142</v>
      </c>
      <c r="F71" s="19">
        <f t="shared" si="11"/>
        <v>228.85649999999995</v>
      </c>
      <c r="G71" s="28">
        <f t="shared" si="12"/>
        <v>7.524677815886672E-3</v>
      </c>
      <c r="H71" s="29" t="str">
        <f t="shared" si="13"/>
        <v>BUY ▲</v>
      </c>
      <c r="I71" s="30" t="str">
        <f t="shared" si="14"/>
        <v>7-Day MA above 20-Day MA — upward momentum — possible good time to buy</v>
      </c>
    </row>
    <row r="72" spans="2:9" ht="16.5" customHeight="1" x14ac:dyDescent="0.3">
      <c r="B72" s="21" t="str">
        <f>'📊 RAW DATA'!B73</f>
        <v>2026-01-01</v>
      </c>
      <c r="C72" s="22">
        <f>'📊 RAW DATA'!F73</f>
        <v>230.5</v>
      </c>
      <c r="D72" s="25">
        <f t="shared" si="15"/>
        <v>1.1292564280749318E-3</v>
      </c>
      <c r="E72" s="22">
        <f t="shared" si="16"/>
        <v>230.72857142857146</v>
      </c>
      <c r="F72" s="22">
        <f t="shared" si="11"/>
        <v>229.11499999999995</v>
      </c>
      <c r="G72" s="25">
        <f t="shared" si="12"/>
        <v>7.0426267532527516E-3</v>
      </c>
      <c r="H72" s="26" t="str">
        <f t="shared" si="13"/>
        <v>BUY ▲</v>
      </c>
      <c r="I72" s="27" t="str">
        <f t="shared" si="14"/>
        <v>7-Day MA above 20-Day MA — upward momentum — possible good time to buy</v>
      </c>
    </row>
    <row r="73" spans="2:9" ht="16.5" customHeight="1" x14ac:dyDescent="0.3">
      <c r="B73" s="18" t="str">
        <f>'📊 RAW DATA'!B74</f>
        <v>2026-01-02</v>
      </c>
      <c r="C73" s="19">
        <f>'📊 RAW DATA'!F74</f>
        <v>227.53</v>
      </c>
      <c r="D73" s="28">
        <f t="shared" si="15"/>
        <v>-1.2885032537960917E-2</v>
      </c>
      <c r="E73" s="19">
        <f t="shared" si="16"/>
        <v>230.17285714285714</v>
      </c>
      <c r="F73" s="19">
        <f t="shared" si="11"/>
        <v>229.14399999999995</v>
      </c>
      <c r="G73" s="28">
        <f t="shared" si="12"/>
        <v>4.4900025436284234E-3</v>
      </c>
      <c r="H73" s="29" t="str">
        <f t="shared" si="13"/>
        <v>BUY ▲</v>
      </c>
      <c r="I73" s="30" t="str">
        <f t="shared" si="14"/>
        <v>7-Day MA above 20-Day MA — upward momentum — possible good time to buy</v>
      </c>
    </row>
    <row r="74" spans="2:9" ht="16.5" customHeight="1" x14ac:dyDescent="0.3">
      <c r="B74" s="21" t="str">
        <f>'📊 RAW DATA'!B75</f>
        <v>2026-01-05</v>
      </c>
      <c r="C74" s="22">
        <f>'📊 RAW DATA'!F75</f>
        <v>227.61</v>
      </c>
      <c r="D74" s="25">
        <f t="shared" si="15"/>
        <v>3.5160198655126429E-4</v>
      </c>
      <c r="E74" s="22">
        <f t="shared" si="16"/>
        <v>229.55285714285714</v>
      </c>
      <c r="F74" s="22">
        <f t="shared" si="11"/>
        <v>229.28199999999998</v>
      </c>
      <c r="G74" s="25">
        <f t="shared" si="12"/>
        <v>1.181327547985246E-3</v>
      </c>
      <c r="H74" s="26" t="str">
        <f t="shared" si="13"/>
        <v>BUY ▲</v>
      </c>
      <c r="I74" s="27" t="str">
        <f t="shared" si="14"/>
        <v>7-Day MA above 20-Day MA — upward momentum — possible good time to buy</v>
      </c>
    </row>
    <row r="75" spans="2:9" ht="16.5" customHeight="1" x14ac:dyDescent="0.3">
      <c r="B75" s="18" t="str">
        <f>'📊 RAW DATA'!B76</f>
        <v>2026-01-06</v>
      </c>
      <c r="C75" s="19">
        <f>'📊 RAW DATA'!F76</f>
        <v>232.26</v>
      </c>
      <c r="D75" s="28">
        <f t="shared" si="15"/>
        <v>2.0429682351390532E-2</v>
      </c>
      <c r="E75" s="19">
        <f t="shared" si="16"/>
        <v>229.44142857142856</v>
      </c>
      <c r="F75" s="19">
        <f t="shared" si="11"/>
        <v>229.47449999999998</v>
      </c>
      <c r="G75" s="28">
        <f t="shared" si="12"/>
        <v>-1.4411809840055424E-4</v>
      </c>
      <c r="H75" s="29" t="str">
        <f t="shared" si="13"/>
        <v>SELL ▼</v>
      </c>
      <c r="I75" s="30" t="str">
        <f t="shared" si="14"/>
        <v>7-Day MA below 20-Day MA — downward momentum — possible time to be cautious</v>
      </c>
    </row>
    <row r="76" spans="2:9" ht="16.5" customHeight="1" x14ac:dyDescent="0.3">
      <c r="B76" s="21" t="str">
        <f>'📊 RAW DATA'!B77</f>
        <v>2026-01-07</v>
      </c>
      <c r="C76" s="22">
        <f>'📊 RAW DATA'!F77</f>
        <v>235.11</v>
      </c>
      <c r="D76" s="25">
        <f t="shared" si="15"/>
        <v>1.2270731077241193E-2</v>
      </c>
      <c r="E76" s="22">
        <f t="shared" si="16"/>
        <v>230.5157142857143</v>
      </c>
      <c r="F76" s="22">
        <f t="shared" si="11"/>
        <v>229.83</v>
      </c>
      <c r="G76" s="25">
        <f t="shared" si="12"/>
        <v>2.9835717082812656E-3</v>
      </c>
      <c r="H76" s="26" t="str">
        <f t="shared" si="13"/>
        <v>BUY ▲</v>
      </c>
      <c r="I76" s="27" t="str">
        <f t="shared" si="14"/>
        <v>7-Day MA above 20-Day MA — upward momentum — possible good time to buy</v>
      </c>
    </row>
    <row r="77" spans="2:9" ht="16.5" customHeight="1" x14ac:dyDescent="0.3">
      <c r="B77" s="18" t="str">
        <f>'📊 RAW DATA'!B78</f>
        <v>2026-01-08</v>
      </c>
      <c r="C77" s="19">
        <f>'📊 RAW DATA'!F78</f>
        <v>235.47</v>
      </c>
      <c r="D77" s="28">
        <f t="shared" si="15"/>
        <v>1.5311981625620863E-3</v>
      </c>
      <c r="E77" s="19">
        <f t="shared" si="16"/>
        <v>231.24571428571429</v>
      </c>
      <c r="F77" s="19">
        <f t="shared" si="11"/>
        <v>230.1815</v>
      </c>
      <c r="G77" s="28">
        <f t="shared" si="12"/>
        <v>4.623370191411064E-3</v>
      </c>
      <c r="H77" s="29" t="str">
        <f t="shared" si="13"/>
        <v>BUY ▲</v>
      </c>
      <c r="I77" s="30" t="str">
        <f t="shared" si="14"/>
        <v>7-Day MA above 20-Day MA — upward momentum — possible good time to buy</v>
      </c>
    </row>
    <row r="78" spans="2:9" ht="16.5" customHeight="1" x14ac:dyDescent="0.3">
      <c r="B78" s="21" t="str">
        <f>'📊 RAW DATA'!B79</f>
        <v>2026-01-09</v>
      </c>
      <c r="C78" s="22">
        <f>'📊 RAW DATA'!F79</f>
        <v>234.68</v>
      </c>
      <c r="D78" s="25">
        <f t="shared" si="15"/>
        <v>-3.3549921433727592E-3</v>
      </c>
      <c r="E78" s="22">
        <f t="shared" si="16"/>
        <v>231.88000000000002</v>
      </c>
      <c r="F78" s="22">
        <f t="shared" si="11"/>
        <v>230.36550000000005</v>
      </c>
      <c r="G78" s="25">
        <f t="shared" si="12"/>
        <v>6.5743351326477684E-3</v>
      </c>
      <c r="H78" s="26" t="str">
        <f t="shared" si="13"/>
        <v>BUY ▲</v>
      </c>
      <c r="I78" s="27" t="str">
        <f t="shared" si="14"/>
        <v>7-Day MA above 20-Day MA — upward momentum — possible good time to buy</v>
      </c>
    </row>
    <row r="79" spans="2:9" ht="16.5" customHeight="1" x14ac:dyDescent="0.3">
      <c r="B79" s="18" t="str">
        <f>'📊 RAW DATA'!B80</f>
        <v>2026-01-12</v>
      </c>
      <c r="C79" s="19">
        <f>'📊 RAW DATA'!F80</f>
        <v>236.78</v>
      </c>
      <c r="D79" s="28">
        <f t="shared" si="15"/>
        <v>8.9483552070905858E-3</v>
      </c>
      <c r="E79" s="19">
        <f t="shared" si="16"/>
        <v>232.77714285714288</v>
      </c>
      <c r="F79" s="19">
        <f t="shared" si="11"/>
        <v>230.88250000000002</v>
      </c>
      <c r="G79" s="28">
        <f t="shared" si="12"/>
        <v>8.2060912245096769E-3</v>
      </c>
      <c r="H79" s="29" t="str">
        <f t="shared" si="13"/>
        <v>BUY ▲</v>
      </c>
      <c r="I79" s="30" t="str">
        <f t="shared" si="14"/>
        <v>7-Day MA above 20-Day MA — upward momentum — possible good time to buy</v>
      </c>
    </row>
    <row r="80" spans="2:9" ht="16.5" customHeight="1" x14ac:dyDescent="0.3">
      <c r="B80" s="21" t="str">
        <f>'📊 RAW DATA'!B81</f>
        <v>2026-01-13</v>
      </c>
      <c r="C80" s="22">
        <f>'📊 RAW DATA'!F81</f>
        <v>232.94</v>
      </c>
      <c r="D80" s="25">
        <f t="shared" si="15"/>
        <v>-1.6217585944758861E-2</v>
      </c>
      <c r="E80" s="22">
        <f t="shared" si="16"/>
        <v>233.55</v>
      </c>
      <c r="F80" s="22">
        <f t="shared" si="11"/>
        <v>231.19</v>
      </c>
      <c r="G80" s="25">
        <f t="shared" si="12"/>
        <v>1.0208053981573657E-2</v>
      </c>
      <c r="H80" s="26" t="str">
        <f t="shared" si="13"/>
        <v>BUY ▲</v>
      </c>
      <c r="I80" s="27" t="str">
        <f t="shared" si="14"/>
        <v>7-Day MA above 20-Day MA — upward momentum — possible good time to buy</v>
      </c>
    </row>
    <row r="81" spans="2:9" ht="16.5" customHeight="1" x14ac:dyDescent="0.3">
      <c r="B81" s="18" t="str">
        <f>'📊 RAW DATA'!B82</f>
        <v>2026-01-14</v>
      </c>
      <c r="C81" s="19">
        <f>'📊 RAW DATA'!F82</f>
        <v>233.38</v>
      </c>
      <c r="D81" s="28">
        <f t="shared" si="15"/>
        <v>1.8888984287799282E-3</v>
      </c>
      <c r="E81" s="19">
        <f t="shared" si="16"/>
        <v>234.37428571428569</v>
      </c>
      <c r="F81" s="19">
        <f t="shared" si="11"/>
        <v>231.43900000000002</v>
      </c>
      <c r="G81" s="28">
        <f t="shared" si="12"/>
        <v>1.2682761826164428E-2</v>
      </c>
      <c r="H81" s="29" t="str">
        <f t="shared" si="13"/>
        <v>BUY ▲</v>
      </c>
      <c r="I81" s="30" t="str">
        <f t="shared" si="14"/>
        <v>7-Day MA above 20-Day MA — upward momentum — possible good time to buy</v>
      </c>
    </row>
    <row r="82" spans="2:9" ht="16.5" customHeight="1" x14ac:dyDescent="0.3">
      <c r="B82" s="21" t="str">
        <f>'📊 RAW DATA'!B83</f>
        <v>2026-01-15</v>
      </c>
      <c r="C82" s="22">
        <f>'📊 RAW DATA'!F83</f>
        <v>232.52</v>
      </c>
      <c r="D82" s="25">
        <f t="shared" si="15"/>
        <v>-3.6849772902561861E-3</v>
      </c>
      <c r="E82" s="22">
        <f t="shared" si="16"/>
        <v>234.41142857142859</v>
      </c>
      <c r="F82" s="22">
        <f t="shared" si="11"/>
        <v>231.67850000000004</v>
      </c>
      <c r="G82" s="25">
        <f t="shared" si="12"/>
        <v>1.1796211437092972E-2</v>
      </c>
      <c r="H82" s="26" t="str">
        <f t="shared" si="13"/>
        <v>BUY ▲</v>
      </c>
      <c r="I82" s="27" t="str">
        <f t="shared" si="14"/>
        <v>7-Day MA above 20-Day MA — upward momentum — possible good time to buy</v>
      </c>
    </row>
    <row r="83" spans="2:9" ht="16.5" customHeight="1" x14ac:dyDescent="0.3">
      <c r="B83" s="18" t="str">
        <f>'📊 RAW DATA'!B84</f>
        <v>2026-01-16</v>
      </c>
      <c r="C83" s="19">
        <f>'📊 RAW DATA'!F84</f>
        <v>234.25</v>
      </c>
      <c r="D83" s="28">
        <f t="shared" si="15"/>
        <v>7.4402201961121239E-3</v>
      </c>
      <c r="E83" s="19">
        <f t="shared" si="16"/>
        <v>234.28857142857143</v>
      </c>
      <c r="F83" s="19">
        <f t="shared" si="11"/>
        <v>231.9735</v>
      </c>
      <c r="G83" s="28">
        <f t="shared" si="12"/>
        <v>9.9798961026644362E-3</v>
      </c>
      <c r="H83" s="29" t="str">
        <f t="shared" si="13"/>
        <v>BUY ▲</v>
      </c>
      <c r="I83" s="30" t="str">
        <f t="shared" si="14"/>
        <v>7-Day MA above 20-Day MA — upward momentum — possible good time to buy</v>
      </c>
    </row>
    <row r="84" spans="2:9" ht="16.5" customHeight="1" x14ac:dyDescent="0.3">
      <c r="B84" s="21" t="str">
        <f>'📊 RAW DATA'!B85</f>
        <v>2026-01-19</v>
      </c>
      <c r="C84" s="22">
        <f>'📊 RAW DATA'!F85</f>
        <v>236.43</v>
      </c>
      <c r="D84" s="25">
        <f t="shared" si="15"/>
        <v>9.3062966915689049E-3</v>
      </c>
      <c r="E84" s="22">
        <f t="shared" si="16"/>
        <v>234.42571428571432</v>
      </c>
      <c r="F84" s="22">
        <f t="shared" ref="F84:F115" si="17">IF(ROW()-5&lt;20,"",AVERAGE(C65:C84))</f>
        <v>232.1755</v>
      </c>
      <c r="G84" s="25">
        <f t="shared" si="12"/>
        <v>9.6918679434924073E-3</v>
      </c>
      <c r="H84" s="26" t="str">
        <f t="shared" si="13"/>
        <v>BUY ▲</v>
      </c>
      <c r="I84" s="27" t="str">
        <f t="shared" si="14"/>
        <v>7-Day MA above 20-Day MA — upward momentum — possible good time to buy</v>
      </c>
    </row>
    <row r="85" spans="2:9" ht="16.5" customHeight="1" x14ac:dyDescent="0.3">
      <c r="B85" s="18" t="str">
        <f>'📊 RAW DATA'!B86</f>
        <v>2026-01-20</v>
      </c>
      <c r="C85" s="19">
        <f>'📊 RAW DATA'!F86</f>
        <v>235.68</v>
      </c>
      <c r="D85" s="28">
        <f t="shared" si="15"/>
        <v>-3.1721862707778659E-3</v>
      </c>
      <c r="E85" s="19">
        <f t="shared" si="16"/>
        <v>234.56857142857143</v>
      </c>
      <c r="F85" s="19">
        <f t="shared" si="17"/>
        <v>232.48700000000002</v>
      </c>
      <c r="G85" s="28">
        <f t="shared" si="12"/>
        <v>8.9534960172887416E-3</v>
      </c>
      <c r="H85" s="29" t="str">
        <f t="shared" si="13"/>
        <v>BUY ▲</v>
      </c>
      <c r="I85" s="30" t="str">
        <f t="shared" si="14"/>
        <v>7-Day MA above 20-Day MA — upward momentum — possible good time to buy</v>
      </c>
    </row>
    <row r="86" spans="2:9" ht="16.5" customHeight="1" x14ac:dyDescent="0.3">
      <c r="B86" s="21" t="str">
        <f>'📊 RAW DATA'!B87</f>
        <v>2026-01-21</v>
      </c>
      <c r="C86" s="22">
        <f>'📊 RAW DATA'!F87</f>
        <v>234.42</v>
      </c>
      <c r="D86" s="25">
        <f t="shared" si="15"/>
        <v>-5.3462321792261402E-3</v>
      </c>
      <c r="E86" s="22">
        <f t="shared" si="16"/>
        <v>234.23142857142858</v>
      </c>
      <c r="F86" s="22">
        <f t="shared" si="17"/>
        <v>232.63700000000003</v>
      </c>
      <c r="G86" s="25">
        <f t="shared" si="12"/>
        <v>6.8537187611108774E-3</v>
      </c>
      <c r="H86" s="26" t="str">
        <f t="shared" si="13"/>
        <v>BUY ▲</v>
      </c>
      <c r="I86" s="27" t="str">
        <f t="shared" si="14"/>
        <v>7-Day MA above 20-Day MA — upward momentum — possible good time to buy</v>
      </c>
    </row>
    <row r="87" spans="2:9" ht="16.5" customHeight="1" x14ac:dyDescent="0.3">
      <c r="B87" s="18" t="str">
        <f>'📊 RAW DATA'!B88</f>
        <v>2026-01-22</v>
      </c>
      <c r="C87" s="19">
        <f>'📊 RAW DATA'!F88</f>
        <v>233.87</v>
      </c>
      <c r="D87" s="28">
        <f t="shared" si="15"/>
        <v>-2.3462161931575576E-3</v>
      </c>
      <c r="E87" s="19">
        <f t="shared" si="16"/>
        <v>234.36428571428573</v>
      </c>
      <c r="F87" s="19">
        <f t="shared" si="17"/>
        <v>232.733</v>
      </c>
      <c r="G87" s="28">
        <f t="shared" si="12"/>
        <v>7.0092583101052453E-3</v>
      </c>
      <c r="H87" s="29" t="str">
        <f t="shared" si="13"/>
        <v>BUY ▲</v>
      </c>
      <c r="I87" s="30" t="str">
        <f t="shared" si="14"/>
        <v>7-Day MA above 20-Day MA — upward momentum — possible good time to buy</v>
      </c>
    </row>
    <row r="88" spans="2:9" ht="16.5" customHeight="1" x14ac:dyDescent="0.3">
      <c r="B88" s="21" t="str">
        <f>'📊 RAW DATA'!B89</f>
        <v>2026-01-23</v>
      </c>
      <c r="C88" s="22">
        <f>'📊 RAW DATA'!F89</f>
        <v>234.52</v>
      </c>
      <c r="D88" s="25">
        <f t="shared" si="15"/>
        <v>2.7793218454696955E-3</v>
      </c>
      <c r="E88" s="22">
        <f t="shared" si="16"/>
        <v>234.52714285714288</v>
      </c>
      <c r="F88" s="22">
        <f t="shared" si="17"/>
        <v>232.80699999999996</v>
      </c>
      <c r="G88" s="25">
        <f t="shared" si="12"/>
        <v>7.3887076296800264E-3</v>
      </c>
      <c r="H88" s="26" t="str">
        <f t="shared" si="13"/>
        <v>BUY ▲</v>
      </c>
      <c r="I88" s="27" t="str">
        <f t="shared" si="14"/>
        <v>7-Day MA above 20-Day MA — upward momentum — possible good time to buy</v>
      </c>
    </row>
    <row r="89" spans="2:9" ht="16.5" customHeight="1" x14ac:dyDescent="0.3">
      <c r="B89" s="18" t="str">
        <f>'📊 RAW DATA'!B90</f>
        <v>2026-01-26</v>
      </c>
      <c r="C89" s="19">
        <f>'📊 RAW DATA'!F90</f>
        <v>235.14</v>
      </c>
      <c r="D89" s="28">
        <f t="shared" si="15"/>
        <v>2.6436977656489891E-3</v>
      </c>
      <c r="E89" s="19">
        <f t="shared" si="16"/>
        <v>234.90142857142857</v>
      </c>
      <c r="F89" s="19">
        <f t="shared" si="17"/>
        <v>233.18450000000007</v>
      </c>
      <c r="G89" s="28">
        <f t="shared" si="12"/>
        <v>7.3629618239140944E-3</v>
      </c>
      <c r="H89" s="29" t="str">
        <f t="shared" si="13"/>
        <v>BUY ▲</v>
      </c>
      <c r="I89" s="30" t="str">
        <f t="shared" si="14"/>
        <v>7-Day MA above 20-Day MA — upward momentum — possible good time to buy</v>
      </c>
    </row>
    <row r="90" spans="2:9" ht="16.5" customHeight="1" x14ac:dyDescent="0.3">
      <c r="B90" s="21" t="str">
        <f>'📊 RAW DATA'!B91</f>
        <v>2026-01-27</v>
      </c>
      <c r="C90" s="22">
        <f>'📊 RAW DATA'!F91</f>
        <v>232.89</v>
      </c>
      <c r="D90" s="25">
        <f t="shared" si="15"/>
        <v>-9.5687675427404972E-3</v>
      </c>
      <c r="E90" s="22">
        <f t="shared" si="16"/>
        <v>234.70714285714283</v>
      </c>
      <c r="F90" s="22">
        <f t="shared" si="17"/>
        <v>233.31100000000006</v>
      </c>
      <c r="G90" s="25">
        <f t="shared" si="12"/>
        <v>5.9840421460743932E-3</v>
      </c>
      <c r="H90" s="26" t="str">
        <f t="shared" si="13"/>
        <v>BUY ▲</v>
      </c>
      <c r="I90" s="27" t="str">
        <f t="shared" si="14"/>
        <v>7-Day MA above 20-Day MA — upward momentum — possible good time to buy</v>
      </c>
    </row>
    <row r="91" spans="2:9" ht="16.5" customHeight="1" x14ac:dyDescent="0.3">
      <c r="B91" s="18" t="str">
        <f>'📊 RAW DATA'!B92</f>
        <v>2026-01-28</v>
      </c>
      <c r="C91" s="19">
        <f>'📊 RAW DATA'!F92</f>
        <v>233</v>
      </c>
      <c r="D91" s="28">
        <f t="shared" si="15"/>
        <v>4.7232599081126203E-4</v>
      </c>
      <c r="E91" s="19">
        <f t="shared" si="16"/>
        <v>234.21714285714285</v>
      </c>
      <c r="F91" s="19">
        <f t="shared" si="17"/>
        <v>233.44900000000001</v>
      </c>
      <c r="G91" s="28">
        <f t="shared" si="12"/>
        <v>3.290409713225733E-3</v>
      </c>
      <c r="H91" s="29" t="str">
        <f t="shared" si="13"/>
        <v>BUY ▲</v>
      </c>
      <c r="I91" s="30" t="str">
        <f t="shared" si="14"/>
        <v>7-Day MA above 20-Day MA — upward momentum — possible good time to buy</v>
      </c>
    </row>
    <row r="92" spans="2:9" ht="16.5" customHeight="1" x14ac:dyDescent="0.3">
      <c r="B92" s="21" t="str">
        <f>'📊 RAW DATA'!B93</f>
        <v>2026-01-29</v>
      </c>
      <c r="C92" s="22">
        <f>'📊 RAW DATA'!F93</f>
        <v>235.48</v>
      </c>
      <c r="D92" s="25">
        <f t="shared" si="15"/>
        <v>1.064377682403439E-2</v>
      </c>
      <c r="E92" s="22">
        <f t="shared" si="16"/>
        <v>234.18857142857141</v>
      </c>
      <c r="F92" s="22">
        <f t="shared" si="17"/>
        <v>233.69799999999995</v>
      </c>
      <c r="G92" s="25">
        <f t="shared" si="12"/>
        <v>2.099168279452356E-3</v>
      </c>
      <c r="H92" s="26" t="str">
        <f t="shared" si="13"/>
        <v>BUY ▲</v>
      </c>
      <c r="I92" s="27" t="str">
        <f t="shared" si="14"/>
        <v>7-Day MA above 20-Day MA — upward momentum — possible good time to buy</v>
      </c>
    </row>
    <row r="93" spans="2:9" ht="16.5" customHeight="1" x14ac:dyDescent="0.3">
      <c r="B93" s="18" t="str">
        <f>'📊 RAW DATA'!B94</f>
        <v>2026-01-30</v>
      </c>
      <c r="C93" s="19">
        <f>'📊 RAW DATA'!F94</f>
        <v>235.5</v>
      </c>
      <c r="D93" s="28">
        <f t="shared" si="15"/>
        <v>8.493290300659595E-5</v>
      </c>
      <c r="E93" s="19">
        <f t="shared" si="16"/>
        <v>234.34285714285716</v>
      </c>
      <c r="F93" s="19">
        <f t="shared" si="17"/>
        <v>234.09649999999993</v>
      </c>
      <c r="G93" s="28">
        <f t="shared" si="12"/>
        <v>1.0523743108385684E-3</v>
      </c>
      <c r="H93" s="29" t="str">
        <f t="shared" si="13"/>
        <v>BUY ▲</v>
      </c>
      <c r="I93" s="30" t="str">
        <f t="shared" si="14"/>
        <v>7-Day MA above 20-Day MA — upward momentum — possible good time to buy</v>
      </c>
    </row>
    <row r="94" spans="2:9" ht="16.5" customHeight="1" x14ac:dyDescent="0.3">
      <c r="B94" s="21" t="str">
        <f>'📊 RAW DATA'!B95</f>
        <v>2026-02-02</v>
      </c>
      <c r="C94" s="22">
        <f>'📊 RAW DATA'!F95</f>
        <v>230.34</v>
      </c>
      <c r="D94" s="25">
        <f t="shared" si="15"/>
        <v>-2.1910828025477724E-2</v>
      </c>
      <c r="E94" s="22">
        <f t="shared" si="16"/>
        <v>233.83857142857141</v>
      </c>
      <c r="F94" s="22">
        <f t="shared" si="17"/>
        <v>234.23299999999995</v>
      </c>
      <c r="G94" s="25">
        <f t="shared" si="12"/>
        <v>-1.6839154663456232E-3</v>
      </c>
      <c r="H94" s="26" t="str">
        <f t="shared" si="13"/>
        <v>SELL ▼</v>
      </c>
      <c r="I94" s="27" t="str">
        <f t="shared" si="14"/>
        <v>7-Day MA below 20-Day MA — downward momentum — possible time to be cautious</v>
      </c>
    </row>
    <row r="95" spans="2:9" ht="16.5" customHeight="1" x14ac:dyDescent="0.3">
      <c r="B95" s="18" t="str">
        <f>'📊 RAW DATA'!B96</f>
        <v>2026-02-03</v>
      </c>
      <c r="C95" s="19">
        <f>'📊 RAW DATA'!F96</f>
        <v>228.27</v>
      </c>
      <c r="D95" s="28">
        <f t="shared" si="15"/>
        <v>-8.9867152904401504E-3</v>
      </c>
      <c r="E95" s="19">
        <f t="shared" si="16"/>
        <v>232.94571428571427</v>
      </c>
      <c r="F95" s="19">
        <f t="shared" si="17"/>
        <v>234.0335</v>
      </c>
      <c r="G95" s="28">
        <f t="shared" si="12"/>
        <v>-4.6479914810731342E-3</v>
      </c>
      <c r="H95" s="29" t="str">
        <f t="shared" si="13"/>
        <v>SELL ▼</v>
      </c>
      <c r="I95" s="30" t="str">
        <f t="shared" si="14"/>
        <v>7-Day MA below 20-Day MA — downward momentum — possible time to be cautious</v>
      </c>
    </row>
    <row r="96" spans="2:9" ht="16.5" customHeight="1" x14ac:dyDescent="0.3">
      <c r="B96" s="21" t="str">
        <f>'📊 RAW DATA'!B97</f>
        <v>2026-02-04</v>
      </c>
      <c r="C96" s="22">
        <f>'📊 RAW DATA'!F97</f>
        <v>230.68</v>
      </c>
      <c r="D96" s="25">
        <f t="shared" si="15"/>
        <v>1.0557672931178042E-2</v>
      </c>
      <c r="E96" s="22">
        <f t="shared" si="16"/>
        <v>232.30857142857144</v>
      </c>
      <c r="F96" s="22">
        <f t="shared" si="17"/>
        <v>233.81200000000004</v>
      </c>
      <c r="G96" s="25">
        <f t="shared" si="12"/>
        <v>-6.4300744676432332E-3</v>
      </c>
      <c r="H96" s="26" t="str">
        <f t="shared" si="13"/>
        <v>SELL ▼</v>
      </c>
      <c r="I96" s="27" t="str">
        <f t="shared" si="14"/>
        <v>7-Day MA below 20-Day MA — downward momentum — possible time to be cautious</v>
      </c>
    </row>
    <row r="97" spans="2:9" ht="16.5" customHeight="1" x14ac:dyDescent="0.3">
      <c r="B97" s="18" t="str">
        <f>'📊 RAW DATA'!B98</f>
        <v>2026-02-05</v>
      </c>
      <c r="C97" s="19">
        <f>'📊 RAW DATA'!F98</f>
        <v>234.14</v>
      </c>
      <c r="D97" s="28">
        <f t="shared" si="15"/>
        <v>1.4999132998092524E-2</v>
      </c>
      <c r="E97" s="19">
        <f t="shared" si="16"/>
        <v>232.48714285714291</v>
      </c>
      <c r="F97" s="19">
        <f t="shared" si="17"/>
        <v>233.74550000000005</v>
      </c>
      <c r="G97" s="28">
        <f t="shared" si="12"/>
        <v>-5.3834497043029096E-3</v>
      </c>
      <c r="H97" s="29" t="str">
        <f t="shared" si="13"/>
        <v>SELL ▼</v>
      </c>
      <c r="I97" s="30" t="str">
        <f t="shared" si="14"/>
        <v>7-Day MA below 20-Day MA — downward momentum — possible time to be cautious</v>
      </c>
    </row>
    <row r="98" spans="2:9" ht="16.5" customHeight="1" x14ac:dyDescent="0.3">
      <c r="B98" s="21" t="str">
        <f>'📊 RAW DATA'!B99</f>
        <v>2026-02-06</v>
      </c>
      <c r="C98" s="22">
        <f>'📊 RAW DATA'!F99</f>
        <v>236.2</v>
      </c>
      <c r="D98" s="25">
        <f t="shared" si="15"/>
        <v>8.7981549500300016E-3</v>
      </c>
      <c r="E98" s="22">
        <f t="shared" si="16"/>
        <v>232.94428571428571</v>
      </c>
      <c r="F98" s="22">
        <f t="shared" si="17"/>
        <v>233.82150000000001</v>
      </c>
      <c r="G98" s="25">
        <f t="shared" si="12"/>
        <v>-3.7516408273589141E-3</v>
      </c>
      <c r="H98" s="26" t="str">
        <f t="shared" si="13"/>
        <v>SELL ▼</v>
      </c>
      <c r="I98" s="27" t="str">
        <f t="shared" si="14"/>
        <v>7-Day MA below 20-Day MA — downward momentum — possible time to be cautious</v>
      </c>
    </row>
    <row r="99" spans="2:9" ht="16.5" customHeight="1" x14ac:dyDescent="0.3">
      <c r="B99" s="18" t="str">
        <f>'📊 RAW DATA'!B100</f>
        <v>2026-02-09</v>
      </c>
      <c r="C99" s="19">
        <f>'📊 RAW DATA'!F100</f>
        <v>236.1</v>
      </c>
      <c r="D99" s="28">
        <f t="shared" si="15"/>
        <v>-4.2337002540215884E-4</v>
      </c>
      <c r="E99" s="19">
        <f t="shared" si="16"/>
        <v>233.03285714285713</v>
      </c>
      <c r="F99" s="19">
        <f t="shared" si="17"/>
        <v>233.78749999999999</v>
      </c>
      <c r="G99" s="28">
        <f t="shared" si="12"/>
        <v>-3.2279007951360496E-3</v>
      </c>
      <c r="H99" s="29" t="str">
        <f t="shared" si="13"/>
        <v>SELL ▼</v>
      </c>
      <c r="I99" s="30" t="str">
        <f t="shared" si="14"/>
        <v>7-Day MA below 20-Day MA — downward momentum — possible time to be cautious</v>
      </c>
    </row>
    <row r="100" spans="2:9" ht="16.5" customHeight="1" x14ac:dyDescent="0.3">
      <c r="B100" s="21" t="str">
        <f>'📊 RAW DATA'!B101</f>
        <v>2026-02-10</v>
      </c>
      <c r="C100" s="22">
        <f>'📊 RAW DATA'!F101</f>
        <v>234.21</v>
      </c>
      <c r="D100" s="25">
        <f t="shared" si="15"/>
        <v>-8.0050825921219593E-3</v>
      </c>
      <c r="E100" s="22">
        <f t="shared" si="16"/>
        <v>232.8485714285714</v>
      </c>
      <c r="F100" s="22">
        <f t="shared" si="17"/>
        <v>233.85100000000003</v>
      </c>
      <c r="G100" s="25">
        <f t="shared" si="12"/>
        <v>-4.2866122934202694E-3</v>
      </c>
      <c r="H100" s="26" t="str">
        <f t="shared" si="13"/>
        <v>SELL ▼</v>
      </c>
      <c r="I100" s="27" t="str">
        <f t="shared" si="14"/>
        <v>7-Day MA below 20-Day MA — downward momentum — possible time to be cautious</v>
      </c>
    </row>
    <row r="101" spans="2:9" ht="16.5" customHeight="1" x14ac:dyDescent="0.3">
      <c r="B101" s="18" t="str">
        <f>'📊 RAW DATA'!B102</f>
        <v>2026-02-11</v>
      </c>
      <c r="C101" s="19">
        <f>'📊 RAW DATA'!F102</f>
        <v>235.8</v>
      </c>
      <c r="D101" s="28">
        <f t="shared" si="15"/>
        <v>6.7887793006276009E-3</v>
      </c>
      <c r="E101" s="19">
        <f t="shared" si="16"/>
        <v>233.62857142857141</v>
      </c>
      <c r="F101" s="19">
        <f t="shared" si="17"/>
        <v>233.97199999999998</v>
      </c>
      <c r="G101" s="28">
        <f t="shared" si="12"/>
        <v>-1.4678191041174798E-3</v>
      </c>
      <c r="H101" s="29" t="str">
        <f t="shared" si="13"/>
        <v>SELL ▼</v>
      </c>
      <c r="I101" s="30" t="str">
        <f t="shared" si="14"/>
        <v>7-Day MA below 20-Day MA — downward momentum — possible time to be cautious</v>
      </c>
    </row>
    <row r="102" spans="2:9" ht="16.5" customHeight="1" x14ac:dyDescent="0.3">
      <c r="B102" s="21" t="str">
        <f>'📊 RAW DATA'!B103</f>
        <v>2026-02-12</v>
      </c>
      <c r="C102" s="22">
        <f>'📊 RAW DATA'!F103</f>
        <v>235.76</v>
      </c>
      <c r="D102" s="25">
        <f t="shared" si="15"/>
        <v>-1.6963528413915796E-4</v>
      </c>
      <c r="E102" s="22">
        <f t="shared" si="16"/>
        <v>234.6985714285714</v>
      </c>
      <c r="F102" s="22">
        <f t="shared" si="17"/>
        <v>234.13399999999996</v>
      </c>
      <c r="G102" s="25">
        <f t="shared" ref="G102:G133" si="18">IF(OR(E102="",F102=""),"",(E102-F102)/F102)</f>
        <v>2.4113175727209228E-3</v>
      </c>
      <c r="H102" s="26" t="str">
        <f t="shared" ref="H102:H135" si="19">IF(OR(E102="",F102=""),"WAIT",IF(E102&gt;F102,"BUY ▲","SELL ▼"))</f>
        <v>BUY ▲</v>
      </c>
      <c r="I102" s="27" t="str">
        <f t="shared" ref="I102:I133" si="20">IF(H102="WAIT","Need more data (20 days minimum)",IF(H102="BUY ▲","7-Day MA above 20-Day MA — upward momentum — possible good time to buy","7-Day MA below 20-Day MA — downward momentum — possible time to be cautious"))</f>
        <v>7-Day MA above 20-Day MA — upward momentum — possible good time to buy</v>
      </c>
    </row>
    <row r="103" spans="2:9" ht="16.5" customHeight="1" x14ac:dyDescent="0.3">
      <c r="B103" s="18" t="str">
        <f>'📊 RAW DATA'!B104</f>
        <v>2026-02-13</v>
      </c>
      <c r="C103" s="19">
        <f>'📊 RAW DATA'!F104</f>
        <v>230.21</v>
      </c>
      <c r="D103" s="28">
        <f t="shared" ref="D103:D134" si="21">IF(C102=0,"",C103/C102-1)</f>
        <v>-2.3540889039701307E-2</v>
      </c>
      <c r="E103" s="19">
        <f t="shared" ref="E103:E134" si="22">IF(ROW()-5&lt;7,"",AVERAGE(C97:C103))</f>
        <v>234.63142857142859</v>
      </c>
      <c r="F103" s="19">
        <f t="shared" si="17"/>
        <v>233.93199999999996</v>
      </c>
      <c r="G103" s="28">
        <f t="shared" si="18"/>
        <v>2.9898798429826893E-3</v>
      </c>
      <c r="H103" s="29" t="str">
        <f t="shared" si="19"/>
        <v>BUY ▲</v>
      </c>
      <c r="I103" s="30" t="str">
        <f t="shared" si="20"/>
        <v>7-Day MA above 20-Day MA — upward momentum — possible good time to buy</v>
      </c>
    </row>
    <row r="104" spans="2:9" ht="16.5" customHeight="1" x14ac:dyDescent="0.3">
      <c r="B104" s="21" t="str">
        <f>'📊 RAW DATA'!B105</f>
        <v>2026-02-16</v>
      </c>
      <c r="C104" s="22">
        <f>'📊 RAW DATA'!F105</f>
        <v>231.08</v>
      </c>
      <c r="D104" s="25">
        <f t="shared" si="21"/>
        <v>3.7791581599408985E-3</v>
      </c>
      <c r="E104" s="22">
        <f t="shared" si="22"/>
        <v>234.19428571428571</v>
      </c>
      <c r="F104" s="22">
        <f t="shared" si="17"/>
        <v>233.6645</v>
      </c>
      <c r="G104" s="25">
        <f t="shared" si="18"/>
        <v>2.2672922685547368E-3</v>
      </c>
      <c r="H104" s="26" t="str">
        <f t="shared" si="19"/>
        <v>BUY ▲</v>
      </c>
      <c r="I104" s="27" t="str">
        <f t="shared" si="20"/>
        <v>7-Day MA above 20-Day MA — upward momentum — possible good time to buy</v>
      </c>
    </row>
    <row r="105" spans="2:9" ht="16.5" customHeight="1" x14ac:dyDescent="0.3">
      <c r="B105" s="18" t="str">
        <f>'📊 RAW DATA'!B106</f>
        <v>2026-02-17</v>
      </c>
      <c r="C105" s="19">
        <f>'📊 RAW DATA'!F106</f>
        <v>233.81</v>
      </c>
      <c r="D105" s="28">
        <f t="shared" si="21"/>
        <v>1.1814090358317486E-2</v>
      </c>
      <c r="E105" s="19">
        <f t="shared" si="22"/>
        <v>233.85285714285712</v>
      </c>
      <c r="F105" s="19">
        <f t="shared" si="17"/>
        <v>233.571</v>
      </c>
      <c r="G105" s="28">
        <f t="shared" si="18"/>
        <v>1.2067300429296462E-3</v>
      </c>
      <c r="H105" s="29" t="str">
        <f t="shared" si="19"/>
        <v>BUY ▲</v>
      </c>
      <c r="I105" s="30" t="str">
        <f t="shared" si="20"/>
        <v>7-Day MA above 20-Day MA — upward momentum — possible good time to buy</v>
      </c>
    </row>
    <row r="106" spans="2:9" ht="16.5" customHeight="1" x14ac:dyDescent="0.3">
      <c r="B106" s="21" t="str">
        <f>'📊 RAW DATA'!B107</f>
        <v>2026-02-18</v>
      </c>
      <c r="C106" s="22">
        <f>'📊 RAW DATA'!F107</f>
        <v>233.4</v>
      </c>
      <c r="D106" s="25">
        <f t="shared" si="21"/>
        <v>-1.7535605833796097E-3</v>
      </c>
      <c r="E106" s="22">
        <f t="shared" si="22"/>
        <v>233.46714285714285</v>
      </c>
      <c r="F106" s="22">
        <f t="shared" si="17"/>
        <v>233.51999999999998</v>
      </c>
      <c r="G106" s="25">
        <f t="shared" si="18"/>
        <v>-2.2634953261877093E-4</v>
      </c>
      <c r="H106" s="26" t="str">
        <f t="shared" si="19"/>
        <v>SELL ▼</v>
      </c>
      <c r="I106" s="27" t="str">
        <f t="shared" si="20"/>
        <v>7-Day MA below 20-Day MA — downward momentum — possible time to be cautious</v>
      </c>
    </row>
    <row r="107" spans="2:9" ht="16.5" customHeight="1" x14ac:dyDescent="0.3">
      <c r="B107" s="18" t="str">
        <f>'📊 RAW DATA'!B108</f>
        <v>2026-02-19</v>
      </c>
      <c r="C107" s="19">
        <f>'📊 RAW DATA'!F108</f>
        <v>234.57</v>
      </c>
      <c r="D107" s="28">
        <f t="shared" si="21"/>
        <v>5.0128534704370065E-3</v>
      </c>
      <c r="E107" s="19">
        <f t="shared" si="22"/>
        <v>233.51857142857145</v>
      </c>
      <c r="F107" s="19">
        <f t="shared" si="17"/>
        <v>233.55499999999998</v>
      </c>
      <c r="G107" s="28">
        <f t="shared" si="18"/>
        <v>-1.5597427341966638E-4</v>
      </c>
      <c r="H107" s="29" t="str">
        <f t="shared" si="19"/>
        <v>SELL ▼</v>
      </c>
      <c r="I107" s="30" t="str">
        <f t="shared" si="20"/>
        <v>7-Day MA below 20-Day MA — downward momentum — possible time to be cautious</v>
      </c>
    </row>
    <row r="108" spans="2:9" ht="16.5" customHeight="1" x14ac:dyDescent="0.3">
      <c r="B108" s="21" t="str">
        <f>'📊 RAW DATA'!B109</f>
        <v>2026-02-20</v>
      </c>
      <c r="C108" s="22">
        <f>'📊 RAW DATA'!F109</f>
        <v>235.77</v>
      </c>
      <c r="D108" s="25">
        <f t="shared" si="21"/>
        <v>5.1157437012405715E-3</v>
      </c>
      <c r="E108" s="22">
        <f t="shared" si="22"/>
        <v>233.51428571428573</v>
      </c>
      <c r="F108" s="22">
        <f t="shared" si="17"/>
        <v>233.61750000000001</v>
      </c>
      <c r="G108" s="25">
        <f t="shared" si="18"/>
        <v>-4.4180887867678169E-4</v>
      </c>
      <c r="H108" s="26" t="str">
        <f t="shared" si="19"/>
        <v>SELL ▼</v>
      </c>
      <c r="I108" s="27" t="str">
        <f t="shared" si="20"/>
        <v>7-Day MA below 20-Day MA — downward momentum — possible time to be cautious</v>
      </c>
    </row>
    <row r="109" spans="2:9" ht="16.5" customHeight="1" x14ac:dyDescent="0.3">
      <c r="B109" s="18" t="str">
        <f>'📊 RAW DATA'!B110</f>
        <v>2026-02-23</v>
      </c>
      <c r="C109" s="19">
        <f>'📊 RAW DATA'!F110</f>
        <v>231.41</v>
      </c>
      <c r="D109" s="28">
        <f t="shared" si="21"/>
        <v>-1.8492598719090703E-2</v>
      </c>
      <c r="E109" s="19">
        <f t="shared" si="22"/>
        <v>232.89285714285714</v>
      </c>
      <c r="F109" s="19">
        <f t="shared" si="17"/>
        <v>233.43099999999998</v>
      </c>
      <c r="G109" s="28">
        <f t="shared" si="18"/>
        <v>-2.3053615721255719E-3</v>
      </c>
      <c r="H109" s="29" t="str">
        <f t="shared" si="19"/>
        <v>SELL ▼</v>
      </c>
      <c r="I109" s="30" t="str">
        <f t="shared" si="20"/>
        <v>7-Day MA below 20-Day MA — downward momentum — possible time to be cautious</v>
      </c>
    </row>
    <row r="110" spans="2:9" ht="16.5" customHeight="1" x14ac:dyDescent="0.3">
      <c r="B110" s="21" t="str">
        <f>'📊 RAW DATA'!B111</f>
        <v>2026-02-24</v>
      </c>
      <c r="C110" s="22">
        <f>'📊 RAW DATA'!F111</f>
        <v>233.65</v>
      </c>
      <c r="D110" s="25">
        <f t="shared" si="21"/>
        <v>9.6797891188800111E-3</v>
      </c>
      <c r="E110" s="22">
        <f t="shared" si="22"/>
        <v>233.38428571428571</v>
      </c>
      <c r="F110" s="22">
        <f t="shared" si="17"/>
        <v>233.46899999999999</v>
      </c>
      <c r="G110" s="25">
        <f t="shared" si="18"/>
        <v>-3.6285025298555352E-4</v>
      </c>
      <c r="H110" s="26" t="str">
        <f t="shared" si="19"/>
        <v>SELL ▼</v>
      </c>
      <c r="I110" s="27" t="str">
        <f t="shared" si="20"/>
        <v>7-Day MA below 20-Day MA — downward momentum — possible time to be cautious</v>
      </c>
    </row>
    <row r="111" spans="2:9" ht="16.5" customHeight="1" x14ac:dyDescent="0.3">
      <c r="B111" s="18" t="str">
        <f>'📊 RAW DATA'!B112</f>
        <v>2026-02-25</v>
      </c>
      <c r="C111" s="19">
        <f>'📊 RAW DATA'!F112</f>
        <v>230.99</v>
      </c>
      <c r="D111" s="28">
        <f t="shared" si="21"/>
        <v>-1.1384549539910083E-2</v>
      </c>
      <c r="E111" s="19">
        <f t="shared" si="22"/>
        <v>233.37142857142859</v>
      </c>
      <c r="F111" s="19">
        <f t="shared" si="17"/>
        <v>233.36849999999995</v>
      </c>
      <c r="G111" s="28">
        <f t="shared" si="18"/>
        <v>1.254912907543317E-5</v>
      </c>
      <c r="H111" s="29" t="str">
        <f t="shared" si="19"/>
        <v>BUY ▲</v>
      </c>
      <c r="I111" s="30" t="str">
        <f t="shared" si="20"/>
        <v>7-Day MA above 20-Day MA — upward momentum — possible good time to buy</v>
      </c>
    </row>
    <row r="112" spans="2:9" ht="16.5" customHeight="1" x14ac:dyDescent="0.3">
      <c r="B112" s="21" t="str">
        <f>'📊 RAW DATA'!B113</f>
        <v>2026-02-26</v>
      </c>
      <c r="C112" s="22">
        <f>'📊 RAW DATA'!F113</f>
        <v>234.23</v>
      </c>
      <c r="D112" s="25">
        <f t="shared" si="21"/>
        <v>1.4026581237282842E-2</v>
      </c>
      <c r="E112" s="22">
        <f t="shared" si="22"/>
        <v>233.43142857142857</v>
      </c>
      <c r="F112" s="22">
        <f t="shared" si="17"/>
        <v>233.30599999999995</v>
      </c>
      <c r="G112" s="25">
        <f t="shared" si="18"/>
        <v>5.376139980481175E-4</v>
      </c>
      <c r="H112" s="26" t="str">
        <f t="shared" si="19"/>
        <v>BUY ▲</v>
      </c>
      <c r="I112" s="27" t="str">
        <f t="shared" si="20"/>
        <v>7-Day MA above 20-Day MA — upward momentum — possible good time to buy</v>
      </c>
    </row>
    <row r="113" spans="2:9" ht="16.5" customHeight="1" x14ac:dyDescent="0.3">
      <c r="B113" s="18" t="str">
        <f>'📊 RAW DATA'!B114</f>
        <v>2026-02-27</v>
      </c>
      <c r="C113" s="19">
        <f>'📊 RAW DATA'!F114</f>
        <v>230.99</v>
      </c>
      <c r="D113" s="28">
        <f t="shared" si="21"/>
        <v>-1.3832557742389895E-2</v>
      </c>
      <c r="E113" s="19">
        <f t="shared" si="22"/>
        <v>233.08714285714285</v>
      </c>
      <c r="F113" s="19">
        <f t="shared" si="17"/>
        <v>233.08049999999997</v>
      </c>
      <c r="G113" s="28">
        <f t="shared" si="18"/>
        <v>2.850026983329241E-5</v>
      </c>
      <c r="H113" s="29" t="str">
        <f t="shared" si="19"/>
        <v>BUY ▲</v>
      </c>
      <c r="I113" s="30" t="str">
        <f t="shared" si="20"/>
        <v>7-Day MA above 20-Day MA — upward momentum — possible good time to buy</v>
      </c>
    </row>
    <row r="114" spans="2:9" ht="16.5" customHeight="1" x14ac:dyDescent="0.3">
      <c r="B114" s="21" t="str">
        <f>'📊 RAW DATA'!B115</f>
        <v>2026-03-02</v>
      </c>
      <c r="C114" s="22">
        <f>'📊 RAW DATA'!F115</f>
        <v>231.96</v>
      </c>
      <c r="D114" s="25">
        <f t="shared" si="21"/>
        <v>4.1993159877051767E-3</v>
      </c>
      <c r="E114" s="22">
        <f t="shared" si="22"/>
        <v>232.71428571428572</v>
      </c>
      <c r="F114" s="22">
        <f t="shared" si="17"/>
        <v>233.16149999999999</v>
      </c>
      <c r="G114" s="25">
        <f t="shared" si="18"/>
        <v>-1.918045156315546E-3</v>
      </c>
      <c r="H114" s="26" t="str">
        <f t="shared" si="19"/>
        <v>SELL ▼</v>
      </c>
      <c r="I114" s="27" t="str">
        <f t="shared" si="20"/>
        <v>7-Day MA below 20-Day MA — downward momentum — possible time to be cautious</v>
      </c>
    </row>
    <row r="115" spans="2:9" ht="16.5" customHeight="1" x14ac:dyDescent="0.3">
      <c r="B115" s="18" t="str">
        <f>'📊 RAW DATA'!B116</f>
        <v>2026-03-03</v>
      </c>
      <c r="C115" s="19">
        <f>'📊 RAW DATA'!F116</f>
        <v>235.97</v>
      </c>
      <c r="D115" s="28">
        <f t="shared" si="21"/>
        <v>1.7287463355750932E-2</v>
      </c>
      <c r="E115" s="19">
        <f t="shared" si="22"/>
        <v>232.74285714285716</v>
      </c>
      <c r="F115" s="19">
        <f t="shared" si="17"/>
        <v>233.54650000000001</v>
      </c>
      <c r="G115" s="28">
        <f t="shared" si="18"/>
        <v>-3.4410400376064178E-3</v>
      </c>
      <c r="H115" s="29" t="str">
        <f t="shared" si="19"/>
        <v>SELL ▼</v>
      </c>
      <c r="I115" s="30" t="str">
        <f t="shared" si="20"/>
        <v>7-Day MA below 20-Day MA — downward momentum — possible time to be cautious</v>
      </c>
    </row>
    <row r="116" spans="2:9" ht="16.5" customHeight="1" x14ac:dyDescent="0.3">
      <c r="B116" s="21" t="str">
        <f>'📊 RAW DATA'!B117</f>
        <v>2026-03-04</v>
      </c>
      <c r="C116" s="22">
        <f>'📊 RAW DATA'!F117</f>
        <v>233.93</v>
      </c>
      <c r="D116" s="25">
        <f t="shared" si="21"/>
        <v>-8.6451667584862557E-3</v>
      </c>
      <c r="E116" s="22">
        <f t="shared" si="22"/>
        <v>233.10285714285715</v>
      </c>
      <c r="F116" s="22">
        <f t="shared" ref="F116:F147" si="23">IF(ROW()-5&lt;20,"",AVERAGE(C97:C116))</f>
        <v>233.70900000000006</v>
      </c>
      <c r="G116" s="25">
        <f t="shared" si="18"/>
        <v>-2.5935794391440344E-3</v>
      </c>
      <c r="H116" s="26" t="str">
        <f t="shared" si="19"/>
        <v>SELL ▼</v>
      </c>
      <c r="I116" s="27" t="str">
        <f t="shared" si="20"/>
        <v>7-Day MA below 20-Day MA — downward momentum — possible time to be cautious</v>
      </c>
    </row>
    <row r="117" spans="2:9" ht="16.5" customHeight="1" x14ac:dyDescent="0.3">
      <c r="B117" s="18" t="str">
        <f>'📊 RAW DATA'!B118</f>
        <v>2026-03-05</v>
      </c>
      <c r="C117" s="19">
        <f>'📊 RAW DATA'!F118</f>
        <v>232.91</v>
      </c>
      <c r="D117" s="28">
        <f t="shared" si="21"/>
        <v>-4.3602787158552037E-3</v>
      </c>
      <c r="E117" s="19">
        <f t="shared" si="22"/>
        <v>232.9971428571429</v>
      </c>
      <c r="F117" s="19">
        <f t="shared" si="23"/>
        <v>233.64750000000004</v>
      </c>
      <c r="G117" s="28">
        <f t="shared" si="18"/>
        <v>-2.7834971179110921E-3</v>
      </c>
      <c r="H117" s="29" t="str">
        <f t="shared" si="19"/>
        <v>SELL ▼</v>
      </c>
      <c r="I117" s="30" t="str">
        <f t="shared" si="20"/>
        <v>7-Day MA below 20-Day MA — downward momentum — possible time to be cautious</v>
      </c>
    </row>
    <row r="118" spans="2:9" ht="16.5" customHeight="1" x14ac:dyDescent="0.3">
      <c r="B118" s="21" t="str">
        <f>'📊 RAW DATA'!B119</f>
        <v>2026-03-06</v>
      </c>
      <c r="C118" s="22">
        <f>'📊 RAW DATA'!F119</f>
        <v>231.27</v>
      </c>
      <c r="D118" s="25">
        <f t="shared" si="21"/>
        <v>-7.0413464428319417E-3</v>
      </c>
      <c r="E118" s="22">
        <f t="shared" si="22"/>
        <v>233.0371428571429</v>
      </c>
      <c r="F118" s="22">
        <f t="shared" si="23"/>
        <v>233.40100000000001</v>
      </c>
      <c r="G118" s="25">
        <f t="shared" si="18"/>
        <v>-1.558935663759427E-3</v>
      </c>
      <c r="H118" s="26" t="str">
        <f t="shared" si="19"/>
        <v>SELL ▼</v>
      </c>
      <c r="I118" s="27" t="str">
        <f t="shared" si="20"/>
        <v>7-Day MA below 20-Day MA — downward momentum — possible time to be cautious</v>
      </c>
    </row>
    <row r="119" spans="2:9" ht="16.5" customHeight="1" x14ac:dyDescent="0.3">
      <c r="B119" s="18" t="str">
        <f>'📊 RAW DATA'!B120</f>
        <v>2026-03-09</v>
      </c>
      <c r="C119" s="19">
        <f>'📊 RAW DATA'!F120</f>
        <v>229.25</v>
      </c>
      <c r="D119" s="28">
        <f t="shared" si="21"/>
        <v>-8.7343797293207848E-3</v>
      </c>
      <c r="E119" s="19">
        <f t="shared" si="22"/>
        <v>232.32571428571433</v>
      </c>
      <c r="F119" s="19">
        <f t="shared" si="23"/>
        <v>233.05850000000001</v>
      </c>
      <c r="G119" s="28">
        <f t="shared" si="18"/>
        <v>-3.1442136385743612E-3</v>
      </c>
      <c r="H119" s="29" t="str">
        <f t="shared" si="19"/>
        <v>SELL ▼</v>
      </c>
      <c r="I119" s="30" t="str">
        <f t="shared" si="20"/>
        <v>7-Day MA below 20-Day MA — downward momentum — possible time to be cautious</v>
      </c>
    </row>
    <row r="120" spans="2:9" ht="16.5" customHeight="1" x14ac:dyDescent="0.3">
      <c r="B120" s="21" t="str">
        <f>'📊 RAW DATA'!B121</f>
        <v>2026-03-10</v>
      </c>
      <c r="C120" s="22">
        <f>'📊 RAW DATA'!F121</f>
        <v>227.98</v>
      </c>
      <c r="D120" s="25">
        <f t="shared" si="21"/>
        <v>-5.5398037077426521E-3</v>
      </c>
      <c r="E120" s="22">
        <f t="shared" si="22"/>
        <v>231.89571428571429</v>
      </c>
      <c r="F120" s="22">
        <f t="shared" si="23"/>
        <v>232.74699999999999</v>
      </c>
      <c r="G120" s="25">
        <f t="shared" si="18"/>
        <v>-3.6575582683587523E-3</v>
      </c>
      <c r="H120" s="26" t="str">
        <f t="shared" si="19"/>
        <v>SELL ▼</v>
      </c>
      <c r="I120" s="27" t="str">
        <f t="shared" si="20"/>
        <v>7-Day MA below 20-Day MA — downward momentum — possible time to be cautious</v>
      </c>
    </row>
    <row r="121" spans="2:9" ht="16.5" customHeight="1" x14ac:dyDescent="0.3">
      <c r="B121" s="18" t="str">
        <f>'📊 RAW DATA'!B122</f>
        <v>2026-03-11</v>
      </c>
      <c r="C121" s="19">
        <f>'📊 RAW DATA'!F122</f>
        <v>231.41</v>
      </c>
      <c r="D121" s="28">
        <f t="shared" si="21"/>
        <v>1.5045179401701914E-2</v>
      </c>
      <c r="E121" s="19">
        <f t="shared" si="22"/>
        <v>231.81714285714287</v>
      </c>
      <c r="F121" s="19">
        <f t="shared" si="23"/>
        <v>232.52749999999997</v>
      </c>
      <c r="G121" s="28">
        <f t="shared" si="18"/>
        <v>-3.0549382023937208E-3</v>
      </c>
      <c r="H121" s="29" t="str">
        <f t="shared" si="19"/>
        <v>SELL ▼</v>
      </c>
      <c r="I121" s="30" t="str">
        <f t="shared" si="20"/>
        <v>7-Day MA below 20-Day MA — downward momentum — possible time to be cautious</v>
      </c>
    </row>
    <row r="122" spans="2:9" ht="16.5" customHeight="1" x14ac:dyDescent="0.3">
      <c r="B122" s="21" t="str">
        <f>'📊 RAW DATA'!B123</f>
        <v>2026-03-12</v>
      </c>
      <c r="C122" s="22">
        <f>'📊 RAW DATA'!F123</f>
        <v>232.33</v>
      </c>
      <c r="D122" s="25">
        <f t="shared" si="21"/>
        <v>3.9756276738256435E-3</v>
      </c>
      <c r="E122" s="22">
        <f t="shared" si="22"/>
        <v>231.29714285714286</v>
      </c>
      <c r="F122" s="22">
        <f t="shared" si="23"/>
        <v>232.35599999999999</v>
      </c>
      <c r="G122" s="25">
        <f t="shared" si="18"/>
        <v>-4.5570466992766942E-3</v>
      </c>
      <c r="H122" s="26" t="str">
        <f t="shared" si="19"/>
        <v>SELL ▼</v>
      </c>
      <c r="I122" s="27" t="str">
        <f t="shared" si="20"/>
        <v>7-Day MA below 20-Day MA — downward momentum — possible time to be cautious</v>
      </c>
    </row>
    <row r="123" spans="2:9" ht="16.5" customHeight="1" x14ac:dyDescent="0.3">
      <c r="B123" s="18" t="str">
        <f>'📊 RAW DATA'!B124</f>
        <v>2026-03-13</v>
      </c>
      <c r="C123" s="19">
        <f>'📊 RAW DATA'!F124</f>
        <v>230.32</v>
      </c>
      <c r="D123" s="28">
        <f t="shared" si="21"/>
        <v>-8.6514871088538836E-3</v>
      </c>
      <c r="E123" s="19">
        <f t="shared" si="22"/>
        <v>230.78142857142856</v>
      </c>
      <c r="F123" s="19">
        <f t="shared" si="23"/>
        <v>232.36149999999992</v>
      </c>
      <c r="G123" s="28">
        <f t="shared" si="18"/>
        <v>-6.8000569309948451E-3</v>
      </c>
      <c r="H123" s="29" t="str">
        <f t="shared" si="19"/>
        <v>SELL ▼</v>
      </c>
      <c r="I123" s="30" t="str">
        <f t="shared" si="20"/>
        <v>7-Day MA below 20-Day MA — downward momentum — possible time to be cautious</v>
      </c>
    </row>
    <row r="124" spans="2:9" ht="16.5" customHeight="1" x14ac:dyDescent="0.3">
      <c r="B124" s="21" t="str">
        <f>'📊 RAW DATA'!B125</f>
        <v>2026-03-16</v>
      </c>
      <c r="C124" s="22">
        <f>'📊 RAW DATA'!F125</f>
        <v>230.93</v>
      </c>
      <c r="D124" s="25">
        <f t="shared" si="21"/>
        <v>2.6484890587010756E-3</v>
      </c>
      <c r="E124" s="22">
        <f t="shared" si="22"/>
        <v>230.49857142857144</v>
      </c>
      <c r="F124" s="22">
        <f t="shared" si="23"/>
        <v>232.35399999999998</v>
      </c>
      <c r="G124" s="25">
        <f t="shared" si="18"/>
        <v>-7.9853523994790152E-3</v>
      </c>
      <c r="H124" s="26" t="str">
        <f t="shared" si="19"/>
        <v>SELL ▼</v>
      </c>
      <c r="I124" s="27" t="str">
        <f t="shared" si="20"/>
        <v>7-Day MA below 20-Day MA — downward momentum — possible time to be cautious</v>
      </c>
    </row>
    <row r="125" spans="2:9" ht="16.5" customHeight="1" x14ac:dyDescent="0.3">
      <c r="B125" s="18" t="str">
        <f>'📊 RAW DATA'!B126</f>
        <v>2026-03-17</v>
      </c>
      <c r="C125" s="19">
        <f>'📊 RAW DATA'!F126</f>
        <v>234.86</v>
      </c>
      <c r="D125" s="28">
        <f t="shared" si="21"/>
        <v>1.7018144026328397E-2</v>
      </c>
      <c r="E125" s="19">
        <f t="shared" si="22"/>
        <v>231.01142857142855</v>
      </c>
      <c r="F125" s="19">
        <f t="shared" si="23"/>
        <v>232.40649999999997</v>
      </c>
      <c r="G125" s="28">
        <f t="shared" si="18"/>
        <v>-6.0027212172267686E-3</v>
      </c>
      <c r="H125" s="29" t="str">
        <f t="shared" si="19"/>
        <v>SELL ▼</v>
      </c>
      <c r="I125" s="30" t="str">
        <f t="shared" si="20"/>
        <v>7-Day MA below 20-Day MA — downward momentum — possible time to be cautious</v>
      </c>
    </row>
    <row r="126" spans="2:9" ht="16.5" customHeight="1" x14ac:dyDescent="0.3">
      <c r="B126" s="21" t="str">
        <f>'📊 RAW DATA'!B127</f>
        <v>2026-03-18</v>
      </c>
      <c r="C126" s="22">
        <f>'📊 RAW DATA'!F127</f>
        <v>238.76</v>
      </c>
      <c r="D126" s="25">
        <f t="shared" si="21"/>
        <v>1.6605637401004847E-2</v>
      </c>
      <c r="E126" s="22">
        <f t="shared" si="22"/>
        <v>232.36999999999998</v>
      </c>
      <c r="F126" s="22">
        <f t="shared" si="23"/>
        <v>232.67449999999999</v>
      </c>
      <c r="G126" s="25">
        <f t="shared" si="18"/>
        <v>-1.3086951943595824E-3</v>
      </c>
      <c r="H126" s="26" t="str">
        <f t="shared" si="19"/>
        <v>SELL ▼</v>
      </c>
      <c r="I126" s="27" t="str">
        <f t="shared" si="20"/>
        <v>7-Day MA below 20-Day MA — downward momentum — possible time to be cautious</v>
      </c>
    </row>
    <row r="127" spans="2:9" ht="16.5" customHeight="1" x14ac:dyDescent="0.3">
      <c r="B127" s="18" t="str">
        <f>'📊 RAW DATA'!B128</f>
        <v>2026-03-19</v>
      </c>
      <c r="C127" s="19">
        <f>'📊 RAW DATA'!F128</f>
        <v>234.4</v>
      </c>
      <c r="D127" s="28">
        <f t="shared" si="21"/>
        <v>-1.8261015245434664E-2</v>
      </c>
      <c r="E127" s="19">
        <f t="shared" si="22"/>
        <v>233.28714285714287</v>
      </c>
      <c r="F127" s="19">
        <f t="shared" si="23"/>
        <v>232.666</v>
      </c>
      <c r="G127" s="28">
        <f t="shared" si="18"/>
        <v>2.6696760899438303E-3</v>
      </c>
      <c r="H127" s="29" t="str">
        <f t="shared" si="19"/>
        <v>BUY ▲</v>
      </c>
      <c r="I127" s="30" t="str">
        <f t="shared" si="20"/>
        <v>7-Day MA above 20-Day MA — upward momentum — possible good time to buy</v>
      </c>
    </row>
    <row r="128" spans="2:9" ht="16.5" customHeight="1" x14ac:dyDescent="0.3">
      <c r="B128" s="21" t="str">
        <f>'📊 RAW DATA'!B129</f>
        <v>2026-03-20</v>
      </c>
      <c r="C128" s="22">
        <f>'📊 RAW DATA'!F129</f>
        <v>233.22</v>
      </c>
      <c r="D128" s="25">
        <f t="shared" si="21"/>
        <v>-5.0341296928327894E-3</v>
      </c>
      <c r="E128" s="22">
        <f t="shared" si="22"/>
        <v>233.54571428571427</v>
      </c>
      <c r="F128" s="22">
        <f t="shared" si="23"/>
        <v>232.53849999999997</v>
      </c>
      <c r="G128" s="25">
        <f t="shared" si="18"/>
        <v>4.3313872142217219E-3</v>
      </c>
      <c r="H128" s="26" t="str">
        <f t="shared" si="19"/>
        <v>BUY ▲</v>
      </c>
      <c r="I128" s="27" t="str">
        <f t="shared" si="20"/>
        <v>7-Day MA above 20-Day MA — upward momentum — possible good time to buy</v>
      </c>
    </row>
    <row r="129" spans="2:9" ht="16.5" customHeight="1" x14ac:dyDescent="0.3">
      <c r="B129" s="18" t="str">
        <f>'📊 RAW DATA'!B130</f>
        <v>2026-03-23</v>
      </c>
      <c r="C129" s="19">
        <f>'📊 RAW DATA'!F130</f>
        <v>232.82</v>
      </c>
      <c r="D129" s="28">
        <f t="shared" si="21"/>
        <v>-1.7151187719749439E-3</v>
      </c>
      <c r="E129" s="19">
        <f t="shared" si="22"/>
        <v>233.61571428571429</v>
      </c>
      <c r="F129" s="19">
        <f t="shared" si="23"/>
        <v>232.60899999999998</v>
      </c>
      <c r="G129" s="28">
        <f t="shared" si="18"/>
        <v>4.3279249113934099E-3</v>
      </c>
      <c r="H129" s="29" t="str">
        <f t="shared" si="19"/>
        <v>BUY ▲</v>
      </c>
      <c r="I129" s="30" t="str">
        <f t="shared" si="20"/>
        <v>7-Day MA above 20-Day MA — upward momentum — possible good time to buy</v>
      </c>
    </row>
    <row r="130" spans="2:9" ht="16.5" customHeight="1" x14ac:dyDescent="0.3">
      <c r="B130" s="21" t="str">
        <f>'📊 RAW DATA'!B131</f>
        <v>2026-03-24</v>
      </c>
      <c r="C130" s="22">
        <f>'📊 RAW DATA'!F131</f>
        <v>233.25</v>
      </c>
      <c r="D130" s="25">
        <f t="shared" si="21"/>
        <v>1.8469203676660939E-3</v>
      </c>
      <c r="E130" s="22">
        <f t="shared" si="22"/>
        <v>234.03428571428569</v>
      </c>
      <c r="F130" s="22">
        <f t="shared" si="23"/>
        <v>232.589</v>
      </c>
      <c r="G130" s="25">
        <f t="shared" si="18"/>
        <v>6.2139039863694694E-3</v>
      </c>
      <c r="H130" s="26" t="str">
        <f t="shared" si="19"/>
        <v>BUY ▲</v>
      </c>
      <c r="I130" s="27" t="str">
        <f t="shared" si="20"/>
        <v>7-Day MA above 20-Day MA — upward momentum — possible good time to buy</v>
      </c>
    </row>
    <row r="131" spans="2:9" ht="16.5" customHeight="1" x14ac:dyDescent="0.3">
      <c r="B131" s="18" t="str">
        <f>'📊 RAW DATA'!B132</f>
        <v>2026-03-25</v>
      </c>
      <c r="C131" s="19">
        <f>'📊 RAW DATA'!F132</f>
        <v>232.65</v>
      </c>
      <c r="D131" s="28">
        <f t="shared" si="21"/>
        <v>-2.5723472668810476E-3</v>
      </c>
      <c r="E131" s="19">
        <f t="shared" si="22"/>
        <v>234.28</v>
      </c>
      <c r="F131" s="19">
        <f t="shared" si="23"/>
        <v>232.67199999999997</v>
      </c>
      <c r="G131" s="28">
        <f t="shared" si="18"/>
        <v>6.9110163663871575E-3</v>
      </c>
      <c r="H131" s="29" t="str">
        <f t="shared" si="19"/>
        <v>BUY ▲</v>
      </c>
      <c r="I131" s="30" t="str">
        <f t="shared" si="20"/>
        <v>7-Day MA above 20-Day MA — upward momentum — possible good time to buy</v>
      </c>
    </row>
    <row r="132" spans="2:9" ht="16.5" customHeight="1" x14ac:dyDescent="0.3">
      <c r="B132" s="21" t="str">
        <f>'📊 RAW DATA'!B133</f>
        <v>2026-03-26</v>
      </c>
      <c r="C132" s="22">
        <f>'📊 RAW DATA'!F133</f>
        <v>235.43</v>
      </c>
      <c r="D132" s="25">
        <f t="shared" si="21"/>
        <v>1.1949280034386334E-2</v>
      </c>
      <c r="E132" s="22">
        <f t="shared" si="22"/>
        <v>234.3614285714286</v>
      </c>
      <c r="F132" s="22">
        <f t="shared" si="23"/>
        <v>232.73199999999997</v>
      </c>
      <c r="G132" s="25">
        <f t="shared" si="18"/>
        <v>7.0013086787748717E-3</v>
      </c>
      <c r="H132" s="26" t="str">
        <f t="shared" si="19"/>
        <v>BUY ▲</v>
      </c>
      <c r="I132" s="27" t="str">
        <f t="shared" si="20"/>
        <v>7-Day MA above 20-Day MA — upward momentum — possible good time to buy</v>
      </c>
    </row>
    <row r="133" spans="2:9" ht="16.5" customHeight="1" x14ac:dyDescent="0.3">
      <c r="B133" s="18" t="str">
        <f>'📊 RAW DATA'!B134</f>
        <v>2026-03-27</v>
      </c>
      <c r="C133" s="19">
        <f>'📊 RAW DATA'!F134</f>
        <v>237.16</v>
      </c>
      <c r="D133" s="28">
        <f t="shared" si="21"/>
        <v>7.3482563819393665E-3</v>
      </c>
      <c r="E133" s="19">
        <f t="shared" si="22"/>
        <v>234.13285714285718</v>
      </c>
      <c r="F133" s="19">
        <f t="shared" si="23"/>
        <v>233.04050000000001</v>
      </c>
      <c r="G133" s="28">
        <f t="shared" si="18"/>
        <v>4.6874133159565297E-3</v>
      </c>
      <c r="H133" s="29" t="str">
        <f t="shared" si="19"/>
        <v>BUY ▲</v>
      </c>
      <c r="I133" s="30" t="str">
        <f t="shared" si="20"/>
        <v>7-Day MA above 20-Day MA — upward momentum — possible good time to buy</v>
      </c>
    </row>
    <row r="134" spans="2:9" ht="16.5" customHeight="1" x14ac:dyDescent="0.3">
      <c r="B134" s="21" t="str">
        <f>'📊 RAW DATA'!B135</f>
        <v>2026-03-30</v>
      </c>
      <c r="C134" s="22">
        <f>'📊 RAW DATA'!F135</f>
        <v>240.07</v>
      </c>
      <c r="D134" s="25">
        <f t="shared" si="21"/>
        <v>1.227019733513246E-2</v>
      </c>
      <c r="E134" s="22">
        <f t="shared" si="22"/>
        <v>234.94285714285712</v>
      </c>
      <c r="F134" s="22">
        <f t="shared" si="23"/>
        <v>233.446</v>
      </c>
      <c r="G134" s="25">
        <f t="shared" ref="G134:G165" si="24">IF(OR(E134="",F134=""),"",(E134-F134)/F134)</f>
        <v>6.4120059579394111E-3</v>
      </c>
      <c r="H134" s="26" t="str">
        <f t="shared" si="19"/>
        <v>BUY ▲</v>
      </c>
      <c r="I134" s="27" t="str">
        <f t="shared" ref="I134:I165" si="25">IF(H134="WAIT","Need more data (20 days minimum)",IF(H134="BUY ▲","7-Day MA above 20-Day MA — upward momentum — possible good time to buy","7-Day MA below 20-Day MA — downward momentum — possible time to be cautious"))</f>
        <v>7-Day MA above 20-Day MA — upward momentum — possible good time to buy</v>
      </c>
    </row>
    <row r="135" spans="2:9" ht="16.5" customHeight="1" x14ac:dyDescent="0.3">
      <c r="B135" s="18" t="str">
        <f>'📊 RAW DATA'!B136</f>
        <v>2026-03-31</v>
      </c>
      <c r="C135" s="19">
        <f>'📊 RAW DATA'!F136</f>
        <v>238.77</v>
      </c>
      <c r="D135" s="28">
        <f t="shared" ref="D135:D166" si="26">IF(C134=0,"",C135/C134-1)</f>
        <v>-5.4150872662139804E-3</v>
      </c>
      <c r="E135" s="19">
        <f t="shared" ref="E135:E166" si="27">IF(ROW()-5&lt;7,"",AVERAGE(C129:C135))</f>
        <v>235.73571428571429</v>
      </c>
      <c r="F135" s="19">
        <f t="shared" si="23"/>
        <v>233.58600000000001</v>
      </c>
      <c r="G135" s="28">
        <f t="shared" si="24"/>
        <v>9.2030955866973276E-3</v>
      </c>
      <c r="H135" s="29" t="str">
        <f t="shared" si="19"/>
        <v>BUY ▲</v>
      </c>
      <c r="I135" s="30" t="str">
        <f t="shared" si="25"/>
        <v>7-Day MA above 20-Day MA — upward momentum — possible good time to buy</v>
      </c>
    </row>
  </sheetData>
  <mergeCells count="2">
    <mergeCell ref="B1:I1"/>
    <mergeCell ref="B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D700"/>
  </sheetPr>
  <dimension ref="B1:AF40"/>
  <sheetViews>
    <sheetView showGridLines="0" tabSelected="1" zoomScale="56" zoomScaleNormal="100" workbookViewId="0">
      <selection activeCell="AL41" sqref="AL41"/>
    </sheetView>
  </sheetViews>
  <sheetFormatPr defaultColWidth="8.6640625" defaultRowHeight="14.4" x14ac:dyDescent="0.3"/>
  <cols>
    <col min="1" max="33" width="3.77734375" customWidth="1"/>
  </cols>
  <sheetData>
    <row r="1" spans="2:32" ht="49.5" customHeight="1" x14ac:dyDescent="0.3">
      <c r="B1" s="78" t="s">
        <v>297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</row>
    <row r="2" spans="2:32" ht="24" customHeight="1" x14ac:dyDescent="0.3">
      <c r="B2" s="106" t="s">
        <v>298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</row>
    <row r="3" spans="2:32" ht="7.5" customHeight="1" x14ac:dyDescent="0.3"/>
    <row r="4" spans="2:32" ht="24" customHeight="1" x14ac:dyDescent="0.3">
      <c r="B4" s="102" t="s">
        <v>299</v>
      </c>
      <c r="C4" s="68"/>
      <c r="D4" s="68"/>
      <c r="E4" s="68"/>
      <c r="F4" s="68"/>
      <c r="G4" s="68"/>
      <c r="H4" s="68"/>
      <c r="I4" s="99" t="s">
        <v>300</v>
      </c>
      <c r="J4" s="68"/>
      <c r="K4" s="68"/>
      <c r="L4" s="68"/>
      <c r="M4" s="68"/>
      <c r="N4" s="68"/>
      <c r="O4" s="68"/>
      <c r="P4" s="103" t="s">
        <v>301</v>
      </c>
      <c r="Q4" s="68"/>
      <c r="R4" s="68"/>
      <c r="S4" s="68"/>
      <c r="T4" s="68"/>
      <c r="U4" s="68"/>
      <c r="V4" s="68"/>
      <c r="W4" s="101" t="s">
        <v>302</v>
      </c>
      <c r="X4" s="68"/>
      <c r="Y4" s="68"/>
      <c r="Z4" s="68"/>
      <c r="AA4" s="68"/>
      <c r="AB4" s="68"/>
      <c r="AC4" s="68"/>
    </row>
    <row r="5" spans="2:32" ht="24" customHeight="1" x14ac:dyDescent="0.3">
      <c r="B5" s="105">
        <f>'📊 RAW DATA'!F7</f>
        <v>199.69</v>
      </c>
      <c r="C5" s="68"/>
      <c r="D5" s="68"/>
      <c r="E5" s="68"/>
      <c r="F5" s="68"/>
      <c r="G5" s="68"/>
      <c r="H5" s="68"/>
      <c r="I5" s="104">
        <f>'📊 RAW DATA'!F136</f>
        <v>238.77</v>
      </c>
      <c r="J5" s="68"/>
      <c r="K5" s="68"/>
      <c r="L5" s="68"/>
      <c r="M5" s="68"/>
      <c r="N5" s="68"/>
      <c r="O5" s="68"/>
      <c r="P5" s="107">
        <f>('📊 RAW DATA'!F136-'📊 RAW DATA'!F7)/'📊 RAW DATA'!F7</f>
        <v>0.19570334017727484</v>
      </c>
      <c r="Q5" s="68"/>
      <c r="R5" s="68"/>
      <c r="S5" s="68"/>
      <c r="T5" s="68"/>
      <c r="U5" s="68"/>
      <c r="V5" s="68"/>
      <c r="W5" s="98" t="str">
        <f>'🔬 ANALYSIS'!H135</f>
        <v>BUY ▲</v>
      </c>
      <c r="X5" s="68"/>
      <c r="Y5" s="68"/>
      <c r="Z5" s="68"/>
      <c r="AA5" s="68"/>
      <c r="AB5" s="68"/>
      <c r="AC5" s="68"/>
    </row>
    <row r="6" spans="2:32" ht="24" customHeight="1" x14ac:dyDescent="0.3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</row>
    <row r="7" spans="2:32" ht="24" customHeight="1" x14ac:dyDescent="0.3">
      <c r="B7" s="91"/>
      <c r="C7" s="68"/>
      <c r="D7" s="68"/>
      <c r="E7" s="68"/>
      <c r="F7" s="68"/>
      <c r="G7" s="68"/>
      <c r="H7" s="68"/>
      <c r="I7" s="83"/>
      <c r="J7" s="68"/>
      <c r="K7" s="68"/>
      <c r="L7" s="68"/>
      <c r="M7" s="68"/>
      <c r="N7" s="68"/>
      <c r="O7" s="68"/>
      <c r="P7" s="82"/>
      <c r="Q7" s="68"/>
      <c r="R7" s="68"/>
      <c r="S7" s="68"/>
      <c r="T7" s="68"/>
      <c r="U7" s="68"/>
      <c r="V7" s="68"/>
      <c r="W7" s="108"/>
      <c r="X7" s="68"/>
      <c r="Y7" s="68"/>
      <c r="Z7" s="68"/>
      <c r="AA7" s="68"/>
      <c r="AB7" s="68"/>
      <c r="AC7" s="68"/>
    </row>
    <row r="8" spans="2:32" ht="6" customHeight="1" x14ac:dyDescent="0.3"/>
    <row r="34" spans="2:32" ht="24" customHeight="1" x14ac:dyDescent="0.3">
      <c r="B34" s="96" t="s">
        <v>303</v>
      </c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</row>
    <row r="35" spans="2:32" ht="19.5" customHeight="1" x14ac:dyDescent="0.3">
      <c r="B35" s="97" t="s">
        <v>304</v>
      </c>
      <c r="C35" s="68"/>
      <c r="D35" s="68"/>
      <c r="E35" s="68"/>
      <c r="F35" s="68"/>
      <c r="G35" s="68"/>
      <c r="H35" s="68"/>
      <c r="I35" s="68"/>
      <c r="J35" s="68"/>
      <c r="K35" s="68"/>
      <c r="L35" s="100" t="s">
        <v>305</v>
      </c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</row>
    <row r="36" spans="2:32" ht="19.5" customHeight="1" x14ac:dyDescent="0.3">
      <c r="B36" s="97" t="s">
        <v>306</v>
      </c>
      <c r="C36" s="68"/>
      <c r="D36" s="68"/>
      <c r="E36" s="68"/>
      <c r="F36" s="68"/>
      <c r="G36" s="68"/>
      <c r="H36" s="68"/>
      <c r="I36" s="68"/>
      <c r="J36" s="68"/>
      <c r="K36" s="68"/>
      <c r="L36" s="100" t="s">
        <v>307</v>
      </c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</row>
    <row r="37" spans="2:32" ht="19.5" customHeight="1" x14ac:dyDescent="0.3">
      <c r="B37" s="97" t="s">
        <v>308</v>
      </c>
      <c r="C37" s="68"/>
      <c r="D37" s="68"/>
      <c r="E37" s="68"/>
      <c r="F37" s="68"/>
      <c r="G37" s="68"/>
      <c r="H37" s="68"/>
      <c r="I37" s="68"/>
      <c r="J37" s="68"/>
      <c r="K37" s="68"/>
      <c r="L37" s="100" t="s">
        <v>309</v>
      </c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</row>
    <row r="38" spans="2:32" ht="19.5" customHeight="1" x14ac:dyDescent="0.3">
      <c r="B38" s="97" t="s">
        <v>310</v>
      </c>
      <c r="C38" s="68"/>
      <c r="D38" s="68"/>
      <c r="E38" s="68"/>
      <c r="F38" s="68"/>
      <c r="G38" s="68"/>
      <c r="H38" s="68"/>
      <c r="I38" s="68"/>
      <c r="J38" s="68"/>
      <c r="K38" s="68"/>
      <c r="L38" s="100" t="s">
        <v>311</v>
      </c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</row>
    <row r="39" spans="2:32" ht="19.5" customHeight="1" x14ac:dyDescent="0.3">
      <c r="B39" s="97" t="s">
        <v>312</v>
      </c>
      <c r="C39" s="68"/>
      <c r="D39" s="68"/>
      <c r="E39" s="68"/>
      <c r="F39" s="68"/>
      <c r="G39" s="68"/>
      <c r="H39" s="68"/>
      <c r="I39" s="68"/>
      <c r="J39" s="68"/>
      <c r="K39" s="68"/>
      <c r="L39" s="100" t="s">
        <v>313</v>
      </c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</row>
    <row r="40" spans="2:32" ht="19.5" customHeight="1" x14ac:dyDescent="0.3">
      <c r="B40" s="97" t="s">
        <v>314</v>
      </c>
      <c r="C40" s="68"/>
      <c r="D40" s="68"/>
      <c r="E40" s="68"/>
      <c r="F40" s="68"/>
      <c r="G40" s="68"/>
      <c r="H40" s="68"/>
      <c r="I40" s="68"/>
      <c r="J40" s="68"/>
      <c r="K40" s="68"/>
      <c r="L40" s="100" t="s">
        <v>315</v>
      </c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</row>
  </sheetData>
  <mergeCells count="27">
    <mergeCell ref="B1:AF1"/>
    <mergeCell ref="B38:K38"/>
    <mergeCell ref="P7:V7"/>
    <mergeCell ref="L37:AF37"/>
    <mergeCell ref="B37:K37"/>
    <mergeCell ref="B39:K39"/>
    <mergeCell ref="L36:AF36"/>
    <mergeCell ref="B5:H6"/>
    <mergeCell ref="B2:AF2"/>
    <mergeCell ref="P5:V6"/>
    <mergeCell ref="W7:AC7"/>
    <mergeCell ref="B34:AF34"/>
    <mergeCell ref="B40:K40"/>
    <mergeCell ref="W5:AC6"/>
    <mergeCell ref="I4:O4"/>
    <mergeCell ref="L39:AF39"/>
    <mergeCell ref="B36:K36"/>
    <mergeCell ref="L35:AF35"/>
    <mergeCell ref="W4:AC4"/>
    <mergeCell ref="B4:H4"/>
    <mergeCell ref="L38:AF38"/>
    <mergeCell ref="B35:K35"/>
    <mergeCell ref="P4:V4"/>
    <mergeCell ref="B7:H7"/>
    <mergeCell ref="L40:AF40"/>
    <mergeCell ref="I5:O6"/>
    <mergeCell ref="I7:O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🇱🇰 CSE LIVE PRICES</vt:lpstr>
      <vt:lpstr>📊 GAINERS &amp; LOSERS</vt:lpstr>
      <vt:lpstr>📋 HOW IT WORKS</vt:lpstr>
      <vt:lpstr>📊 RAW DATA</vt:lpstr>
      <vt:lpstr>🔬 ANALYSIS</vt:lpstr>
      <vt:lpstr>📈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THANUKA SACHITH</cp:lastModifiedBy>
  <cp:revision>1</cp:revision>
  <dcterms:created xsi:type="dcterms:W3CDTF">2026-05-29T08:03:58Z</dcterms:created>
  <dcterms:modified xsi:type="dcterms:W3CDTF">2026-05-29T08:15:43Z</dcterms:modified>
  <dc:language>en-US</dc:language>
</cp:coreProperties>
</file>